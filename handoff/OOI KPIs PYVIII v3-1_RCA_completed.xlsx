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duprey/repos/kpis/handoff/"/>
    </mc:Choice>
  </mc:AlternateContent>
  <xr:revisionPtr revIDLastSave="0" documentId="13_ncr:1_{2B4B497F-F76E-9C46-B3BF-30315797D2C9}" xr6:coauthVersionLast="47" xr6:coauthVersionMax="47" xr10:uidLastSave="{00000000-0000-0000-0000-000000000000}"/>
  <bookViews>
    <workbookView xWindow="0" yWindow="660" windowWidth="34560" windowHeight="19800" activeTab="3" xr2:uid="{00000000-000D-0000-FFFF-FFFF00000000}"/>
  </bookViews>
  <sheets>
    <sheet name="KPI Roll-Up" sheetId="1" r:id="rId1"/>
    <sheet name="Infrastructure Preparation" sheetId="2" r:id="rId2"/>
    <sheet name="Operations" sheetId="3" r:id="rId3"/>
    <sheet name="Data Delive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54" i="3" l="1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BJ53" i="3"/>
  <c r="BI53" i="3"/>
  <c r="BH53" i="3"/>
  <c r="BG53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BJ50" i="3"/>
  <c r="BI50" i="3"/>
  <c r="BH50" i="3"/>
  <c r="BG50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BJ47" i="3"/>
  <c r="BI47" i="3"/>
  <c r="BH47" i="3"/>
  <c r="BG47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BJ44" i="3"/>
  <c r="BI44" i="3"/>
  <c r="BH44" i="3"/>
  <c r="BG44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BJ41" i="3"/>
  <c r="BI41" i="3"/>
  <c r="BH41" i="3"/>
  <c r="BG41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BJ38" i="3"/>
  <c r="BI38" i="3"/>
  <c r="BH38" i="3"/>
  <c r="BG38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BJ35" i="3"/>
  <c r="BI35" i="3"/>
  <c r="BH35" i="3"/>
  <c r="BG35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BJ31" i="3"/>
  <c r="BI31" i="3"/>
  <c r="BI32" i="3" s="1"/>
  <c r="F31" i="1" s="1"/>
  <c r="BH31" i="3"/>
  <c r="BH32" i="3" s="1"/>
  <c r="E31" i="1" s="1"/>
  <c r="BG31" i="3"/>
  <c r="BG32" i="3" s="1"/>
  <c r="D31" i="1" s="1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BJ28" i="3"/>
  <c r="BI28" i="3"/>
  <c r="BH28" i="3"/>
  <c r="BH29" i="3" s="1"/>
  <c r="E28" i="1" s="1"/>
  <c r="BG28" i="3"/>
  <c r="BG29" i="3" s="1"/>
  <c r="D28" i="1" s="1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BJ25" i="3"/>
  <c r="BI25" i="3"/>
  <c r="BH25" i="3"/>
  <c r="BH26" i="3" s="1"/>
  <c r="E25" i="1" s="1"/>
  <c r="BG25" i="3"/>
  <c r="BG26" i="3" s="1"/>
  <c r="D25" i="1" s="1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BJ22" i="3"/>
  <c r="BI22" i="3"/>
  <c r="BH22" i="3"/>
  <c r="BH23" i="3" s="1"/>
  <c r="E22" i="1" s="1"/>
  <c r="BG22" i="3"/>
  <c r="BG23" i="3" s="1"/>
  <c r="D22" i="1" s="1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BJ19" i="3"/>
  <c r="BI19" i="3"/>
  <c r="BH19" i="3"/>
  <c r="BG19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BJ16" i="3"/>
  <c r="BI16" i="3"/>
  <c r="BH16" i="3"/>
  <c r="BG16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BJ13" i="3"/>
  <c r="BI13" i="3"/>
  <c r="BH13" i="3"/>
  <c r="BG13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BJ10" i="3"/>
  <c r="BI10" i="3"/>
  <c r="BH10" i="3"/>
  <c r="BG10" i="3"/>
  <c r="D4" i="3"/>
  <c r="E3" i="3"/>
  <c r="F28" i="2"/>
  <c r="F24" i="2"/>
  <c r="E19" i="2"/>
  <c r="D19" i="2"/>
  <c r="E15" i="2"/>
  <c r="D15" i="2"/>
  <c r="E11" i="2"/>
  <c r="D11" i="2"/>
  <c r="G73" i="1"/>
  <c r="F73" i="1"/>
  <c r="E73" i="1"/>
  <c r="D73" i="1"/>
  <c r="G70" i="1"/>
  <c r="F70" i="1"/>
  <c r="E70" i="1"/>
  <c r="D70" i="1"/>
  <c r="G67" i="1"/>
  <c r="F67" i="1"/>
  <c r="E67" i="1"/>
  <c r="D67" i="1"/>
  <c r="G64" i="1"/>
  <c r="F64" i="1"/>
  <c r="E64" i="1"/>
  <c r="D64" i="1"/>
  <c r="G61" i="1"/>
  <c r="F61" i="1"/>
  <c r="E61" i="1"/>
  <c r="D61" i="1"/>
  <c r="G58" i="1"/>
  <c r="F58" i="1"/>
  <c r="E58" i="1"/>
  <c r="D58" i="1"/>
  <c r="G55" i="1"/>
  <c r="F55" i="1"/>
  <c r="E55" i="1"/>
  <c r="D55" i="1"/>
  <c r="G53" i="1"/>
  <c r="G52" i="1"/>
  <c r="G30" i="1"/>
  <c r="F30" i="1"/>
  <c r="E30" i="1"/>
  <c r="D30" i="1"/>
  <c r="G27" i="1"/>
  <c r="F27" i="1"/>
  <c r="E27" i="1"/>
  <c r="D27" i="1"/>
  <c r="G24" i="1"/>
  <c r="F24" i="1"/>
  <c r="E24" i="1"/>
  <c r="D24" i="1"/>
  <c r="G21" i="1"/>
  <c r="F21" i="1"/>
  <c r="E21" i="1"/>
  <c r="D21" i="1"/>
  <c r="G18" i="1"/>
  <c r="F18" i="1"/>
  <c r="E18" i="1"/>
  <c r="D18" i="1"/>
  <c r="G15" i="1"/>
  <c r="F15" i="1"/>
  <c r="E15" i="1"/>
  <c r="D15" i="1"/>
  <c r="N12" i="1"/>
  <c r="N16" i="1" s="1"/>
  <c r="G12" i="1"/>
  <c r="F12" i="1"/>
  <c r="E12" i="1"/>
  <c r="D12" i="1"/>
  <c r="G9" i="1"/>
  <c r="F9" i="1"/>
  <c r="E9" i="1"/>
  <c r="D9" i="1"/>
  <c r="F7" i="1"/>
  <c r="D7" i="1"/>
  <c r="F6" i="1"/>
  <c r="D6" i="1"/>
  <c r="F5" i="1"/>
  <c r="M5" i="1" s="1"/>
  <c r="D5" i="1"/>
  <c r="K5" i="1" s="1"/>
  <c r="DL34" i="4"/>
  <c r="F78" i="1" s="1"/>
  <c r="DK34" i="4"/>
  <c r="E78" i="1" s="1"/>
  <c r="DJ34" i="4"/>
  <c r="D78" i="1" s="1"/>
  <c r="DG34" i="4"/>
  <c r="DF34" i="4"/>
  <c r="DE34" i="4"/>
  <c r="DD34" i="4"/>
  <c r="DC34" i="4"/>
  <c r="DB34" i="4"/>
  <c r="DA34" i="4"/>
  <c r="CZ34" i="4"/>
  <c r="CY34" i="4"/>
  <c r="CX34" i="4"/>
  <c r="CW34" i="4"/>
  <c r="CV34" i="4"/>
  <c r="CU34" i="4"/>
  <c r="CT34" i="4"/>
  <c r="DM34" i="4" s="1"/>
  <c r="G78" i="1" s="1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DG33" i="4"/>
  <c r="DF33" i="4"/>
  <c r="DE33" i="4"/>
  <c r="DD33" i="4"/>
  <c r="DC33" i="4"/>
  <c r="DB33" i="4"/>
  <c r="DA33" i="4"/>
  <c r="CZ33" i="4"/>
  <c r="CY33" i="4"/>
  <c r="CX33" i="4"/>
  <c r="CW33" i="4"/>
  <c r="CV33" i="4"/>
  <c r="CU33" i="4"/>
  <c r="CT33" i="4"/>
  <c r="DM33" i="4" s="1"/>
  <c r="G77" i="1" s="1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DL33" i="4" s="1"/>
  <c r="F77" i="1" s="1"/>
  <c r="CF33" i="4"/>
  <c r="CE33" i="4"/>
  <c r="CD33" i="4"/>
  <c r="CC33" i="4"/>
  <c r="CB33" i="4"/>
  <c r="CA33" i="4"/>
  <c r="BZ33" i="4"/>
  <c r="BY33" i="4"/>
  <c r="BX33" i="4"/>
  <c r="BW33" i="4"/>
  <c r="BV33" i="4"/>
  <c r="BU33" i="4"/>
  <c r="BT33" i="4"/>
  <c r="DK33" i="4" s="1"/>
  <c r="E77" i="1" s="1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DJ33" i="4" s="1"/>
  <c r="D77" i="1" s="1"/>
  <c r="DG32" i="4"/>
  <c r="DF32" i="4"/>
  <c r="DE32" i="4"/>
  <c r="DD32" i="4"/>
  <c r="DC32" i="4"/>
  <c r="DB32" i="4"/>
  <c r="DA32" i="4"/>
  <c r="CZ32" i="4"/>
  <c r="CY32" i="4"/>
  <c r="CX32" i="4"/>
  <c r="CW32" i="4"/>
  <c r="CV32" i="4"/>
  <c r="CU32" i="4"/>
  <c r="CT32" i="4"/>
  <c r="DM32" i="4" s="1"/>
  <c r="G76" i="1" s="1"/>
  <c r="N14" i="1" s="1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DL32" i="4" s="1"/>
  <c r="F76" i="1" s="1"/>
  <c r="CF32" i="4"/>
  <c r="CE32" i="4"/>
  <c r="CD32" i="4"/>
  <c r="CC32" i="4"/>
  <c r="CB32" i="4"/>
  <c r="CA32" i="4"/>
  <c r="BZ32" i="4"/>
  <c r="BY32" i="4"/>
  <c r="BX32" i="4"/>
  <c r="BW32" i="4"/>
  <c r="BV32" i="4"/>
  <c r="BU32" i="4"/>
  <c r="BT32" i="4"/>
  <c r="DK32" i="4" s="1"/>
  <c r="E76" i="1" s="1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DJ32" i="4" s="1"/>
  <c r="D76" i="1" s="1"/>
  <c r="DJ28" i="4"/>
  <c r="D50" i="1" s="1"/>
  <c r="DG28" i="4"/>
  <c r="DF28" i="4"/>
  <c r="DE28" i="4"/>
  <c r="DD28" i="4"/>
  <c r="DC28" i="4"/>
  <c r="DB28" i="4"/>
  <c r="DA28" i="4"/>
  <c r="CZ28" i="4"/>
  <c r="CY28" i="4"/>
  <c r="CX28" i="4"/>
  <c r="CW28" i="4"/>
  <c r="CV28" i="4"/>
  <c r="CU28" i="4"/>
  <c r="CT28" i="4"/>
  <c r="DM28" i="4" s="1"/>
  <c r="G50" i="1" s="1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DL28" i="4" s="1"/>
  <c r="F50" i="1" s="1"/>
  <c r="CF28" i="4"/>
  <c r="CE28" i="4"/>
  <c r="CD28" i="4"/>
  <c r="CC28" i="4"/>
  <c r="DK28" i="4" s="1"/>
  <c r="E50" i="1" s="1"/>
  <c r="CB28" i="4"/>
  <c r="CA28" i="4"/>
  <c r="BZ28" i="4"/>
  <c r="BY28" i="4"/>
  <c r="BX28" i="4"/>
  <c r="BW28" i="4"/>
  <c r="BV28" i="4"/>
  <c r="BU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DG27" i="4"/>
  <c r="DF27" i="4"/>
  <c r="DE27" i="4"/>
  <c r="DD27" i="4"/>
  <c r="DC27" i="4"/>
  <c r="DB27" i="4"/>
  <c r="DA27" i="4"/>
  <c r="CZ27" i="4"/>
  <c r="CY27" i="4"/>
  <c r="CX27" i="4"/>
  <c r="CW27" i="4"/>
  <c r="CV27" i="4"/>
  <c r="CU27" i="4"/>
  <c r="CT27" i="4"/>
  <c r="DM27" i="4" s="1"/>
  <c r="G49" i="1" s="1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DL27" i="4" s="1"/>
  <c r="F49" i="1" s="1"/>
  <c r="CF27" i="4"/>
  <c r="CE27" i="4"/>
  <c r="CD27" i="4"/>
  <c r="CC27" i="4"/>
  <c r="CB27" i="4"/>
  <c r="CA27" i="4"/>
  <c r="BZ27" i="4"/>
  <c r="BY27" i="4"/>
  <c r="BX27" i="4"/>
  <c r="BW27" i="4"/>
  <c r="BV27" i="4"/>
  <c r="BU27" i="4"/>
  <c r="BT27" i="4"/>
  <c r="DK27" i="4" s="1"/>
  <c r="E49" i="1" s="1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DJ27" i="4" s="1"/>
  <c r="D49" i="1" s="1"/>
  <c r="DG26" i="4"/>
  <c r="DF26" i="4"/>
  <c r="DE26" i="4"/>
  <c r="DD26" i="4"/>
  <c r="DC26" i="4"/>
  <c r="DB26" i="4"/>
  <c r="DA26" i="4"/>
  <c r="CZ26" i="4"/>
  <c r="CY26" i="4"/>
  <c r="CX26" i="4"/>
  <c r="CW26" i="4"/>
  <c r="CV26" i="4"/>
  <c r="CU26" i="4"/>
  <c r="CT26" i="4"/>
  <c r="DM26" i="4" s="1"/>
  <c r="G48" i="1" s="1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DL26" i="4" s="1"/>
  <c r="F48" i="1" s="1"/>
  <c r="CF26" i="4"/>
  <c r="CE26" i="4"/>
  <c r="CD26" i="4"/>
  <c r="CC26" i="4"/>
  <c r="CB26" i="4"/>
  <c r="CA26" i="4"/>
  <c r="BZ26" i="4"/>
  <c r="BY26" i="4"/>
  <c r="BX26" i="4"/>
  <c r="BW26" i="4"/>
  <c r="BV26" i="4"/>
  <c r="BU26" i="4"/>
  <c r="BT26" i="4"/>
  <c r="DK26" i="4" s="1"/>
  <c r="E48" i="1" s="1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DJ26" i="4" s="1"/>
  <c r="D48" i="1" s="1"/>
  <c r="DG23" i="4"/>
  <c r="DF23" i="4"/>
  <c r="DE23" i="4"/>
  <c r="DD23" i="4"/>
  <c r="DC23" i="4"/>
  <c r="DB23" i="4"/>
  <c r="DA23" i="4"/>
  <c r="CZ23" i="4"/>
  <c r="CY23" i="4"/>
  <c r="CX23" i="4"/>
  <c r="CW23" i="4"/>
  <c r="CV23" i="4"/>
  <c r="CU23" i="4"/>
  <c r="CT23" i="4"/>
  <c r="DM23" i="4" s="1"/>
  <c r="G45" i="1" s="1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DL23" i="4" s="1"/>
  <c r="F45" i="1" s="1"/>
  <c r="CF23" i="4"/>
  <c r="CE23" i="4"/>
  <c r="CD23" i="4"/>
  <c r="CC23" i="4"/>
  <c r="CB23" i="4"/>
  <c r="CA23" i="4"/>
  <c r="BZ23" i="4"/>
  <c r="BY23" i="4"/>
  <c r="BX23" i="4"/>
  <c r="BW23" i="4"/>
  <c r="BV23" i="4"/>
  <c r="BU23" i="4"/>
  <c r="BT23" i="4"/>
  <c r="DK23" i="4" s="1"/>
  <c r="E45" i="1" s="1"/>
  <c r="BS23" i="4"/>
  <c r="BR23" i="4"/>
  <c r="BQ23" i="4"/>
  <c r="BP23" i="4"/>
  <c r="BO23" i="4"/>
  <c r="BN23" i="4"/>
  <c r="BM23" i="4"/>
  <c r="BL23" i="4"/>
  <c r="DJ23" i="4" s="1"/>
  <c r="D45" i="1" s="1"/>
  <c r="BK23" i="4"/>
  <c r="BJ23" i="4"/>
  <c r="BI23" i="4"/>
  <c r="BH23" i="4"/>
  <c r="BG23" i="4"/>
  <c r="DG22" i="4"/>
  <c r="DF22" i="4"/>
  <c r="DE22" i="4"/>
  <c r="DD22" i="4"/>
  <c r="DC22" i="4"/>
  <c r="DB22" i="4"/>
  <c r="DA22" i="4"/>
  <c r="CZ22" i="4"/>
  <c r="CY22" i="4"/>
  <c r="CX22" i="4"/>
  <c r="CW22" i="4"/>
  <c r="CV22" i="4"/>
  <c r="CU22" i="4"/>
  <c r="CT22" i="4"/>
  <c r="DM22" i="4" s="1"/>
  <c r="G44" i="1" s="1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DL22" i="4" s="1"/>
  <c r="F44" i="1" s="1"/>
  <c r="CF22" i="4"/>
  <c r="CE22" i="4"/>
  <c r="CD22" i="4"/>
  <c r="CC22" i="4"/>
  <c r="CB22" i="4"/>
  <c r="CA22" i="4"/>
  <c r="BZ22" i="4"/>
  <c r="BY22" i="4"/>
  <c r="BX22" i="4"/>
  <c r="BW22" i="4"/>
  <c r="BV22" i="4"/>
  <c r="BU22" i="4"/>
  <c r="BT22" i="4"/>
  <c r="DK22" i="4" s="1"/>
  <c r="E44" i="1" s="1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DJ22" i="4" s="1"/>
  <c r="D44" i="1" s="1"/>
  <c r="DG21" i="4"/>
  <c r="DF21" i="4"/>
  <c r="DE21" i="4"/>
  <c r="DD21" i="4"/>
  <c r="DC21" i="4"/>
  <c r="DB21" i="4"/>
  <c r="DA21" i="4"/>
  <c r="CZ21" i="4"/>
  <c r="CY21" i="4"/>
  <c r="CX21" i="4"/>
  <c r="CW21" i="4"/>
  <c r="CV21" i="4"/>
  <c r="CU21" i="4"/>
  <c r="CT21" i="4"/>
  <c r="DM21" i="4" s="1"/>
  <c r="G43" i="1" s="1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DL21" i="4" s="1"/>
  <c r="F43" i="1" s="1"/>
  <c r="CF21" i="4"/>
  <c r="CE21" i="4"/>
  <c r="CD21" i="4"/>
  <c r="CC21" i="4"/>
  <c r="CB21" i="4"/>
  <c r="CA21" i="4"/>
  <c r="BZ21" i="4"/>
  <c r="BY21" i="4"/>
  <c r="BX21" i="4"/>
  <c r="BW21" i="4"/>
  <c r="BV21" i="4"/>
  <c r="BU21" i="4"/>
  <c r="BT21" i="4"/>
  <c r="DK21" i="4" s="1"/>
  <c r="E43" i="1" s="1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DJ21" i="4" s="1"/>
  <c r="D43" i="1" s="1"/>
  <c r="DG18" i="4"/>
  <c r="DF18" i="4"/>
  <c r="DE18" i="4"/>
  <c r="DD18" i="4"/>
  <c r="DC18" i="4"/>
  <c r="DB18" i="4"/>
  <c r="DA18" i="4"/>
  <c r="CZ18" i="4"/>
  <c r="CY18" i="4"/>
  <c r="CX18" i="4"/>
  <c r="CW18" i="4"/>
  <c r="CV18" i="4"/>
  <c r="CU18" i="4"/>
  <c r="CT18" i="4"/>
  <c r="DM18" i="4" s="1"/>
  <c r="G40" i="1" s="1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DL18" i="4" s="1"/>
  <c r="F40" i="1" s="1"/>
  <c r="CF18" i="4"/>
  <c r="CE18" i="4"/>
  <c r="CD18" i="4"/>
  <c r="CC18" i="4"/>
  <c r="CB18" i="4"/>
  <c r="CA18" i="4"/>
  <c r="BZ18" i="4"/>
  <c r="BY18" i="4"/>
  <c r="BX18" i="4"/>
  <c r="BW18" i="4"/>
  <c r="BV18" i="4"/>
  <c r="BU18" i="4"/>
  <c r="BT18" i="4"/>
  <c r="DK18" i="4" s="1"/>
  <c r="E40" i="1" s="1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DJ18" i="4" s="1"/>
  <c r="D40" i="1" s="1"/>
  <c r="DG17" i="4"/>
  <c r="DF17" i="4"/>
  <c r="DE17" i="4"/>
  <c r="DD17" i="4"/>
  <c r="DC17" i="4"/>
  <c r="DB17" i="4"/>
  <c r="DA17" i="4"/>
  <c r="CZ17" i="4"/>
  <c r="CY17" i="4"/>
  <c r="CX17" i="4"/>
  <c r="CW17" i="4"/>
  <c r="CV17" i="4"/>
  <c r="CU17" i="4"/>
  <c r="CT17" i="4"/>
  <c r="DM17" i="4" s="1"/>
  <c r="G39" i="1" s="1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DL17" i="4" s="1"/>
  <c r="F39" i="1" s="1"/>
  <c r="CF17" i="4"/>
  <c r="CE17" i="4"/>
  <c r="CD17" i="4"/>
  <c r="CC17" i="4"/>
  <c r="CB17" i="4"/>
  <c r="CA17" i="4"/>
  <c r="BZ17" i="4"/>
  <c r="BY17" i="4"/>
  <c r="BX17" i="4"/>
  <c r="BW17" i="4"/>
  <c r="BV17" i="4"/>
  <c r="BU17" i="4"/>
  <c r="BT17" i="4"/>
  <c r="DK17" i="4" s="1"/>
  <c r="E39" i="1" s="1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DJ17" i="4" s="1"/>
  <c r="D39" i="1" s="1"/>
  <c r="DG16" i="4"/>
  <c r="DF16" i="4"/>
  <c r="DE16" i="4"/>
  <c r="DD16" i="4"/>
  <c r="DC16" i="4"/>
  <c r="DB16" i="4"/>
  <c r="DA16" i="4"/>
  <c r="CZ16" i="4"/>
  <c r="CY16" i="4"/>
  <c r="CX16" i="4"/>
  <c r="CW16" i="4"/>
  <c r="CV16" i="4"/>
  <c r="CU16" i="4"/>
  <c r="CT16" i="4"/>
  <c r="DM16" i="4" s="1"/>
  <c r="G38" i="1" s="1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DL16" i="4" s="1"/>
  <c r="F38" i="1" s="1"/>
  <c r="CF16" i="4"/>
  <c r="CE16" i="4"/>
  <c r="CD16" i="4"/>
  <c r="CC16" i="4"/>
  <c r="CB16" i="4"/>
  <c r="CA16" i="4"/>
  <c r="BZ16" i="4"/>
  <c r="BY16" i="4"/>
  <c r="BX16" i="4"/>
  <c r="BW16" i="4"/>
  <c r="BV16" i="4"/>
  <c r="BU16" i="4"/>
  <c r="BT16" i="4"/>
  <c r="DK16" i="4" s="1"/>
  <c r="E38" i="1" s="1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DJ16" i="4" s="1"/>
  <c r="D38" i="1" s="1"/>
  <c r="DG13" i="4"/>
  <c r="DF13" i="4"/>
  <c r="DE13" i="4"/>
  <c r="DD13" i="4"/>
  <c r="DC13" i="4"/>
  <c r="DB13" i="4"/>
  <c r="DA13" i="4"/>
  <c r="CZ13" i="4"/>
  <c r="CY13" i="4"/>
  <c r="CX13" i="4"/>
  <c r="CW13" i="4"/>
  <c r="CV13" i="4"/>
  <c r="CU13" i="4"/>
  <c r="CT13" i="4"/>
  <c r="DM13" i="4" s="1"/>
  <c r="G35" i="1" s="1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DL13" i="4" s="1"/>
  <c r="F35" i="1" s="1"/>
  <c r="CF13" i="4"/>
  <c r="CE13" i="4"/>
  <c r="CD13" i="4"/>
  <c r="CC13" i="4"/>
  <c r="CB13" i="4"/>
  <c r="CA13" i="4"/>
  <c r="BZ13" i="4"/>
  <c r="BY13" i="4"/>
  <c r="BX13" i="4"/>
  <c r="BW13" i="4"/>
  <c r="BV13" i="4"/>
  <c r="BU13" i="4"/>
  <c r="BT13" i="4"/>
  <c r="DK13" i="4" s="1"/>
  <c r="E35" i="1" s="1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DJ13" i="4" s="1"/>
  <c r="D35" i="1" s="1"/>
  <c r="DG12" i="4"/>
  <c r="DF12" i="4"/>
  <c r="DE12" i="4"/>
  <c r="DD12" i="4"/>
  <c r="DC12" i="4"/>
  <c r="DB12" i="4"/>
  <c r="DA12" i="4"/>
  <c r="CZ12" i="4"/>
  <c r="CY12" i="4"/>
  <c r="CX12" i="4"/>
  <c r="CW12" i="4"/>
  <c r="CV12" i="4"/>
  <c r="CU12" i="4"/>
  <c r="CT12" i="4"/>
  <c r="DM12" i="4" s="1"/>
  <c r="G34" i="1" s="1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DL12" i="4" s="1"/>
  <c r="F34" i="1" s="1"/>
  <c r="CF12" i="4"/>
  <c r="CE12" i="4"/>
  <c r="CD12" i="4"/>
  <c r="CC12" i="4"/>
  <c r="CB12" i="4"/>
  <c r="CA12" i="4"/>
  <c r="BZ12" i="4"/>
  <c r="BY12" i="4"/>
  <c r="BX12" i="4"/>
  <c r="BW12" i="4"/>
  <c r="BV12" i="4"/>
  <c r="BU12" i="4"/>
  <c r="BT12" i="4"/>
  <c r="DK12" i="4" s="1"/>
  <c r="E34" i="1" s="1"/>
  <c r="BS12" i="4"/>
  <c r="BR12" i="4"/>
  <c r="BQ12" i="4"/>
  <c r="BP12" i="4"/>
  <c r="BO12" i="4"/>
  <c r="BN12" i="4"/>
  <c r="BM12" i="4"/>
  <c r="BL12" i="4"/>
  <c r="BK12" i="4"/>
  <c r="BJ12" i="4"/>
  <c r="BI12" i="4"/>
  <c r="BH12" i="4"/>
  <c r="BG12" i="4"/>
  <c r="DJ12" i="4" s="1"/>
  <c r="D34" i="1" s="1"/>
  <c r="DG11" i="4"/>
  <c r="DF11" i="4"/>
  <c r="DE11" i="4"/>
  <c r="DD11" i="4"/>
  <c r="DC11" i="4"/>
  <c r="DB11" i="4"/>
  <c r="DA11" i="4"/>
  <c r="CZ11" i="4"/>
  <c r="CY11" i="4"/>
  <c r="CX11" i="4"/>
  <c r="CW11" i="4"/>
  <c r="CV11" i="4"/>
  <c r="CU11" i="4"/>
  <c r="CT11" i="4"/>
  <c r="DM11" i="4" s="1"/>
  <c r="G33" i="1" s="1"/>
  <c r="N7" i="1" s="1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DL11" i="4" s="1"/>
  <c r="F33" i="1" s="1"/>
  <c r="M7" i="1" s="1"/>
  <c r="CF11" i="4"/>
  <c r="CE11" i="4"/>
  <c r="CD11" i="4"/>
  <c r="CC11" i="4"/>
  <c r="CB11" i="4"/>
  <c r="CA11" i="4"/>
  <c r="BZ11" i="4"/>
  <c r="BY11" i="4"/>
  <c r="BX11" i="4"/>
  <c r="BW11" i="4"/>
  <c r="BV11" i="4"/>
  <c r="BU11" i="4"/>
  <c r="BT11" i="4"/>
  <c r="DK11" i="4" s="1"/>
  <c r="E33" i="1" s="1"/>
  <c r="L7" i="1" s="1"/>
  <c r="BS11" i="4"/>
  <c r="BR11" i="4"/>
  <c r="BQ11" i="4"/>
  <c r="BP11" i="4"/>
  <c r="BO11" i="4"/>
  <c r="BN11" i="4"/>
  <c r="BM11" i="4"/>
  <c r="BL11" i="4"/>
  <c r="BK11" i="4"/>
  <c r="BJ11" i="4"/>
  <c r="BI11" i="4"/>
  <c r="BH11" i="4"/>
  <c r="BG11" i="4"/>
  <c r="DJ11" i="4" s="1"/>
  <c r="D33" i="1" s="1"/>
  <c r="K7" i="1" s="1"/>
  <c r="BH3" i="4"/>
  <c r="BI3" i="4" s="1"/>
  <c r="BJ3" i="4" s="1"/>
  <c r="BK3" i="4" s="1"/>
  <c r="BL3" i="4" s="1"/>
  <c r="BM3" i="4" s="1"/>
  <c r="BN3" i="4" s="1"/>
  <c r="BO3" i="4" s="1"/>
  <c r="BP3" i="4" s="1"/>
  <c r="BQ3" i="4" s="1"/>
  <c r="BR3" i="4" s="1"/>
  <c r="BS3" i="4" s="1"/>
  <c r="BT3" i="4" s="1"/>
  <c r="BU3" i="4" s="1"/>
  <c r="BV3" i="4" s="1"/>
  <c r="BW3" i="4" s="1"/>
  <c r="BX3" i="4" s="1"/>
  <c r="BY3" i="4" s="1"/>
  <c r="BZ3" i="4" s="1"/>
  <c r="CA3" i="4" s="1"/>
  <c r="CB3" i="4" s="1"/>
  <c r="CC3" i="4" s="1"/>
  <c r="CD3" i="4" s="1"/>
  <c r="CE3" i="4" s="1"/>
  <c r="CF3" i="4" s="1"/>
  <c r="CG3" i="4" s="1"/>
  <c r="CH3" i="4" s="1"/>
  <c r="CI3" i="4" s="1"/>
  <c r="CJ3" i="4" s="1"/>
  <c r="CK3" i="4" s="1"/>
  <c r="CL3" i="4" s="1"/>
  <c r="CM3" i="4" s="1"/>
  <c r="CN3" i="4" s="1"/>
  <c r="CO3" i="4" s="1"/>
  <c r="CP3" i="4" s="1"/>
  <c r="CQ3" i="4" s="1"/>
  <c r="CR3" i="4" s="1"/>
  <c r="CS3" i="4" s="1"/>
  <c r="CT3" i="4" s="1"/>
  <c r="CU3" i="4" s="1"/>
  <c r="CV3" i="4" s="1"/>
  <c r="CW3" i="4" s="1"/>
  <c r="CX3" i="4" s="1"/>
  <c r="CY3" i="4" s="1"/>
  <c r="CZ3" i="4" s="1"/>
  <c r="DA3" i="4" s="1"/>
  <c r="DB3" i="4" s="1"/>
  <c r="DC3" i="4" s="1"/>
  <c r="DD3" i="4" s="1"/>
  <c r="DE3" i="4" s="1"/>
  <c r="DF3" i="4" s="1"/>
  <c r="E3" i="4"/>
  <c r="F3" i="4" s="1"/>
  <c r="G3" i="4" s="1"/>
  <c r="H3" i="4" s="1"/>
  <c r="I3" i="4" s="1"/>
  <c r="J3" i="4" s="1"/>
  <c r="K3" i="4" s="1"/>
  <c r="L3" i="4" s="1"/>
  <c r="M3" i="4" s="1"/>
  <c r="N3" i="4" s="1"/>
  <c r="O3" i="4" s="1"/>
  <c r="P3" i="4" s="1"/>
  <c r="Q3" i="4" s="1"/>
  <c r="R3" i="4" s="1"/>
  <c r="S3" i="4" s="1"/>
  <c r="T3" i="4" s="1"/>
  <c r="U3" i="4" s="1"/>
  <c r="V3" i="4" s="1"/>
  <c r="W3" i="4" s="1"/>
  <c r="X3" i="4" s="1"/>
  <c r="Y3" i="4" s="1"/>
  <c r="Z3" i="4" s="1"/>
  <c r="AA3" i="4" s="1"/>
  <c r="AB3" i="4" s="1"/>
  <c r="AC3" i="4" s="1"/>
  <c r="AD3" i="4" s="1"/>
  <c r="AE3" i="4" s="1"/>
  <c r="AF3" i="4" s="1"/>
  <c r="AG3" i="4" s="1"/>
  <c r="AH3" i="4" s="1"/>
  <c r="AI3" i="4" s="1"/>
  <c r="AJ3" i="4" s="1"/>
  <c r="AK3" i="4" s="1"/>
  <c r="AL3" i="4" s="1"/>
  <c r="AM3" i="4" s="1"/>
  <c r="AN3" i="4" s="1"/>
  <c r="AO3" i="4" s="1"/>
  <c r="AP3" i="4" s="1"/>
  <c r="AQ3" i="4" s="1"/>
  <c r="AR3" i="4" s="1"/>
  <c r="AS3" i="4" s="1"/>
  <c r="AT3" i="4" s="1"/>
  <c r="AU3" i="4" s="1"/>
  <c r="AV3" i="4" s="1"/>
  <c r="AW3" i="4" s="1"/>
  <c r="AX3" i="4" s="1"/>
  <c r="AY3" i="4" s="1"/>
  <c r="AZ3" i="4" s="1"/>
  <c r="BA3" i="4" s="1"/>
  <c r="BB3" i="4" s="1"/>
  <c r="BC3" i="4" s="1"/>
  <c r="D32" i="3" l="1"/>
  <c r="D5" i="3"/>
  <c r="D29" i="3"/>
  <c r="D26" i="3"/>
  <c r="D23" i="3"/>
  <c r="D11" i="3"/>
  <c r="D20" i="3"/>
  <c r="D14" i="3"/>
  <c r="D17" i="3"/>
  <c r="F3" i="3"/>
  <c r="E4" i="3"/>
  <c r="M14" i="1"/>
  <c r="L14" i="1"/>
  <c r="K14" i="1"/>
  <c r="F4" i="3" l="1"/>
  <c r="G3" i="3"/>
  <c r="E5" i="3"/>
  <c r="E29" i="3"/>
  <c r="E32" i="3"/>
  <c r="E11" i="3"/>
  <c r="E14" i="3"/>
  <c r="E17" i="3"/>
  <c r="E20" i="3"/>
  <c r="E23" i="3"/>
  <c r="E26" i="3"/>
  <c r="F5" i="3" l="1"/>
  <c r="F11" i="3"/>
  <c r="F20" i="3"/>
  <c r="F23" i="3"/>
  <c r="F29" i="3"/>
  <c r="F32" i="3"/>
  <c r="F14" i="3"/>
  <c r="F17" i="3"/>
  <c r="F26" i="3"/>
  <c r="H3" i="3"/>
  <c r="G4" i="3"/>
  <c r="H4" i="3" l="1"/>
  <c r="I3" i="3"/>
  <c r="G5" i="3"/>
  <c r="G17" i="3"/>
  <c r="G26" i="3"/>
  <c r="G29" i="3"/>
  <c r="G32" i="3"/>
  <c r="G14" i="3"/>
  <c r="G11" i="3"/>
  <c r="G20" i="3"/>
  <c r="G23" i="3"/>
  <c r="H5" i="3" l="1"/>
  <c r="H11" i="3"/>
  <c r="H17" i="3"/>
  <c r="H20" i="3"/>
  <c r="H26" i="3"/>
  <c r="H14" i="3"/>
  <c r="H23" i="3"/>
  <c r="H29" i="3"/>
  <c r="H32" i="3"/>
  <c r="I4" i="3"/>
  <c r="J3" i="3"/>
  <c r="I14" i="3" l="1"/>
  <c r="I17" i="3"/>
  <c r="I26" i="3"/>
  <c r="I5" i="3"/>
  <c r="I11" i="3"/>
  <c r="I20" i="3"/>
  <c r="I29" i="3"/>
  <c r="I32" i="3"/>
  <c r="I23" i="3"/>
  <c r="K3" i="3"/>
  <c r="J4" i="3"/>
  <c r="L3" i="3" l="1"/>
  <c r="K4" i="3"/>
  <c r="J17" i="3"/>
  <c r="J26" i="3"/>
  <c r="J29" i="3"/>
  <c r="J32" i="3"/>
  <c r="J5" i="3"/>
  <c r="J14" i="3"/>
  <c r="J11" i="3"/>
  <c r="J20" i="3"/>
  <c r="J23" i="3"/>
  <c r="M3" i="3" l="1"/>
  <c r="L4" i="3"/>
  <c r="K14" i="3"/>
  <c r="K23" i="3"/>
  <c r="K29" i="3"/>
  <c r="K32" i="3"/>
  <c r="K5" i="3"/>
  <c r="K11" i="3"/>
  <c r="K17" i="3"/>
  <c r="K20" i="3"/>
  <c r="K26" i="3"/>
  <c r="N3" i="3" l="1"/>
  <c r="M4" i="3"/>
  <c r="L11" i="3"/>
  <c r="L20" i="3"/>
  <c r="L29" i="3"/>
  <c r="L32" i="3"/>
  <c r="L23" i="3"/>
  <c r="L5" i="3"/>
  <c r="L14" i="3"/>
  <c r="L17" i="3"/>
  <c r="L26" i="3"/>
  <c r="O3" i="3" l="1"/>
  <c r="N4" i="3"/>
  <c r="M14" i="3"/>
  <c r="M11" i="3"/>
  <c r="M20" i="3"/>
  <c r="M23" i="3"/>
  <c r="M5" i="3"/>
  <c r="M17" i="3"/>
  <c r="M26" i="3"/>
  <c r="M29" i="3"/>
  <c r="M32" i="3"/>
  <c r="P3" i="3" l="1"/>
  <c r="O4" i="3"/>
  <c r="N14" i="3"/>
  <c r="N23" i="3"/>
  <c r="N29" i="3"/>
  <c r="N32" i="3"/>
  <c r="N5" i="3"/>
  <c r="N11" i="3"/>
  <c r="N17" i="3"/>
  <c r="N20" i="3"/>
  <c r="N26" i="3"/>
  <c r="P4" i="3" l="1"/>
  <c r="Q3" i="3"/>
  <c r="O11" i="3"/>
  <c r="O20" i="3"/>
  <c r="O29" i="3"/>
  <c r="O32" i="3"/>
  <c r="O5" i="3"/>
  <c r="O23" i="3"/>
  <c r="O14" i="3"/>
  <c r="O17" i="3"/>
  <c r="O26" i="3"/>
  <c r="BG36" i="3" l="1"/>
  <c r="D56" i="1" s="1"/>
  <c r="K13" i="1" s="1"/>
  <c r="K16" i="1" s="1"/>
  <c r="BG39" i="3"/>
  <c r="D59" i="1" s="1"/>
  <c r="BG42" i="3"/>
  <c r="D62" i="1" s="1"/>
  <c r="BG51" i="3"/>
  <c r="D71" i="1" s="1"/>
  <c r="BG54" i="3"/>
  <c r="D74" i="1" s="1"/>
  <c r="BG48" i="3"/>
  <c r="D68" i="1" s="1"/>
  <c r="BG45" i="3"/>
  <c r="D65" i="1" s="1"/>
  <c r="P17" i="3"/>
  <c r="BG17" i="3" s="1"/>
  <c r="D16" i="1" s="1"/>
  <c r="P26" i="3"/>
  <c r="P29" i="3"/>
  <c r="P32" i="3"/>
  <c r="P5" i="3"/>
  <c r="P14" i="3"/>
  <c r="BG14" i="3" s="1"/>
  <c r="D13" i="1" s="1"/>
  <c r="P11" i="3"/>
  <c r="BG11" i="3" s="1"/>
  <c r="D10" i="1" s="1"/>
  <c r="K6" i="1" s="1"/>
  <c r="K9" i="1" s="1"/>
  <c r="P20" i="3"/>
  <c r="BG20" i="3" s="1"/>
  <c r="D19" i="1" s="1"/>
  <c r="P23" i="3"/>
  <c r="Q4" i="3"/>
  <c r="R3" i="3"/>
  <c r="Q14" i="3" l="1"/>
  <c r="Q11" i="3"/>
  <c r="Q23" i="3"/>
  <c r="Q29" i="3"/>
  <c r="Q32" i="3"/>
  <c r="Q5" i="3"/>
  <c r="Q17" i="3"/>
  <c r="Q20" i="3"/>
  <c r="Q26" i="3"/>
  <c r="R4" i="3"/>
  <c r="S3" i="3"/>
  <c r="R5" i="3" l="1"/>
  <c r="R23" i="3"/>
  <c r="R11" i="3"/>
  <c r="R17" i="3"/>
  <c r="R26" i="3"/>
  <c r="R14" i="3"/>
  <c r="R20" i="3"/>
  <c r="R29" i="3"/>
  <c r="R32" i="3"/>
  <c r="S4" i="3"/>
  <c r="T3" i="3"/>
  <c r="S5" i="3" l="1"/>
  <c r="S14" i="3"/>
  <c r="S20" i="3"/>
  <c r="S23" i="3"/>
  <c r="S11" i="3"/>
  <c r="S17" i="3"/>
  <c r="S26" i="3"/>
  <c r="S29" i="3"/>
  <c r="S32" i="3"/>
  <c r="U3" i="3"/>
  <c r="T4" i="3"/>
  <c r="V3" i="3" l="1"/>
  <c r="U4" i="3"/>
  <c r="T23" i="3"/>
  <c r="T29" i="3"/>
  <c r="T32" i="3"/>
  <c r="T20" i="3"/>
  <c r="T26" i="3"/>
  <c r="T5" i="3"/>
  <c r="T11" i="3"/>
  <c r="T14" i="3"/>
  <c r="T17" i="3"/>
  <c r="V4" i="3" l="1"/>
  <c r="W3" i="3"/>
  <c r="U26" i="3"/>
  <c r="U5" i="3"/>
  <c r="U11" i="3"/>
  <c r="U14" i="3"/>
  <c r="U20" i="3"/>
  <c r="U29" i="3"/>
  <c r="U32" i="3"/>
  <c r="U17" i="3"/>
  <c r="U23" i="3"/>
  <c r="V14" i="3" l="1"/>
  <c r="V5" i="3"/>
  <c r="V11" i="3"/>
  <c r="V20" i="3"/>
  <c r="V23" i="3"/>
  <c r="V17" i="3"/>
  <c r="V26" i="3"/>
  <c r="V29" i="3"/>
  <c r="V32" i="3"/>
  <c r="X3" i="3"/>
  <c r="W4" i="3"/>
  <c r="Y3" i="3" l="1"/>
  <c r="X4" i="3"/>
  <c r="W14" i="3"/>
  <c r="W17" i="3"/>
  <c r="W11" i="3"/>
  <c r="W23" i="3"/>
  <c r="W29" i="3"/>
  <c r="W32" i="3"/>
  <c r="W5" i="3"/>
  <c r="W20" i="3"/>
  <c r="W26" i="3"/>
  <c r="Z3" i="3" l="1"/>
  <c r="Y4" i="3"/>
  <c r="X11" i="3"/>
  <c r="X17" i="3"/>
  <c r="X23" i="3"/>
  <c r="X5" i="3"/>
  <c r="X14" i="3"/>
  <c r="X20" i="3"/>
  <c r="X26" i="3"/>
  <c r="X29" i="3"/>
  <c r="X32" i="3"/>
  <c r="Z4" i="3" l="1"/>
  <c r="AA3" i="3"/>
  <c r="Y11" i="3"/>
  <c r="Y17" i="3"/>
  <c r="Y26" i="3"/>
  <c r="Y29" i="3"/>
  <c r="Y32" i="3"/>
  <c r="Y14" i="3"/>
  <c r="Y23" i="3"/>
  <c r="Y5" i="3"/>
  <c r="Y20" i="3"/>
  <c r="Z11" i="3" l="1"/>
  <c r="Z17" i="3"/>
  <c r="Z20" i="3"/>
  <c r="Z26" i="3"/>
  <c r="Z14" i="3"/>
  <c r="Z5" i="3"/>
  <c r="Z23" i="3"/>
  <c r="Z29" i="3"/>
  <c r="Z32" i="3"/>
  <c r="AB3" i="3"/>
  <c r="AA4" i="3"/>
  <c r="AC3" i="3" l="1"/>
  <c r="AB4" i="3"/>
  <c r="AA5" i="3"/>
  <c r="AA17" i="3"/>
  <c r="AA23" i="3"/>
  <c r="AA26" i="3"/>
  <c r="AA11" i="3"/>
  <c r="AA14" i="3"/>
  <c r="AA20" i="3"/>
  <c r="AA29" i="3"/>
  <c r="AA32" i="3"/>
  <c r="AD3" i="3" l="1"/>
  <c r="AC4" i="3"/>
  <c r="AB11" i="3"/>
  <c r="AB14" i="3"/>
  <c r="AB20" i="3"/>
  <c r="AB5" i="3"/>
  <c r="AB17" i="3"/>
  <c r="AB23" i="3"/>
  <c r="AB26" i="3"/>
  <c r="AB29" i="3"/>
  <c r="AB32" i="3"/>
  <c r="AE3" i="3" l="1"/>
  <c r="AD4" i="3"/>
  <c r="BH45" i="3"/>
  <c r="E65" i="1" s="1"/>
  <c r="BH36" i="3"/>
  <c r="E56" i="1" s="1"/>
  <c r="L13" i="1" s="1"/>
  <c r="L16" i="1" s="1"/>
  <c r="BH54" i="3"/>
  <c r="E74" i="1" s="1"/>
  <c r="BH48" i="3"/>
  <c r="E68" i="1" s="1"/>
  <c r="BH51" i="3"/>
  <c r="E71" i="1" s="1"/>
  <c r="BH39" i="3"/>
  <c r="E59" i="1" s="1"/>
  <c r="BH42" i="3"/>
  <c r="E62" i="1" s="1"/>
  <c r="AC26" i="3"/>
  <c r="AC29" i="3"/>
  <c r="AC32" i="3"/>
  <c r="AC5" i="3"/>
  <c r="AC17" i="3"/>
  <c r="BH17" i="3" s="1"/>
  <c r="E16" i="1" s="1"/>
  <c r="AC20" i="3"/>
  <c r="BH20" i="3" s="1"/>
  <c r="E19" i="1" s="1"/>
  <c r="AC23" i="3"/>
  <c r="AC11" i="3"/>
  <c r="BH11" i="3" s="1"/>
  <c r="E10" i="1" s="1"/>
  <c r="AC14" i="3"/>
  <c r="BH14" i="3" s="1"/>
  <c r="E13" i="1" s="1"/>
  <c r="AF3" i="3" l="1"/>
  <c r="AE4" i="3"/>
  <c r="AD5" i="3"/>
  <c r="AD17" i="3"/>
  <c r="AD23" i="3"/>
  <c r="AD11" i="3"/>
  <c r="AD14" i="3"/>
  <c r="AD20" i="3"/>
  <c r="AD26" i="3"/>
  <c r="AD29" i="3"/>
  <c r="AD32" i="3"/>
  <c r="L6" i="1"/>
  <c r="L9" i="1" s="1"/>
  <c r="AF4" i="3" l="1"/>
  <c r="AG3" i="3"/>
  <c r="AE5" i="3"/>
  <c r="AE11" i="3"/>
  <c r="AE14" i="3"/>
  <c r="AE20" i="3"/>
  <c r="AE17" i="3"/>
  <c r="AE23" i="3"/>
  <c r="AE26" i="3"/>
  <c r="AE29" i="3"/>
  <c r="AE32" i="3"/>
  <c r="AF5" i="3" l="1"/>
  <c r="AF26" i="3"/>
  <c r="AF29" i="3"/>
  <c r="AF32" i="3"/>
  <c r="AF17" i="3"/>
  <c r="AF20" i="3"/>
  <c r="AF23" i="3"/>
  <c r="AF11" i="3"/>
  <c r="AF14" i="3"/>
  <c r="AG4" i="3"/>
  <c r="AH3" i="3"/>
  <c r="AG5" i="3" l="1"/>
  <c r="AG17" i="3"/>
  <c r="AG20" i="3"/>
  <c r="AG11" i="3"/>
  <c r="AG23" i="3"/>
  <c r="AG26" i="3"/>
  <c r="AG29" i="3"/>
  <c r="AG32" i="3"/>
  <c r="AG14" i="3"/>
  <c r="AI3" i="3"/>
  <c r="AH4" i="3"/>
  <c r="AJ3" i="3" l="1"/>
  <c r="AI4" i="3"/>
  <c r="AH17" i="3"/>
  <c r="AH20" i="3"/>
  <c r="AH29" i="3"/>
  <c r="AH32" i="3"/>
  <c r="AH11" i="3"/>
  <c r="AH5" i="3"/>
  <c r="AH14" i="3"/>
  <c r="AH23" i="3"/>
  <c r="AH26" i="3"/>
  <c r="AK3" i="3" l="1"/>
  <c r="AJ4" i="3"/>
  <c r="AI5" i="3"/>
  <c r="AI11" i="3"/>
  <c r="AI14" i="3"/>
  <c r="AI29" i="3"/>
  <c r="AI32" i="3"/>
  <c r="AI17" i="3"/>
  <c r="AI20" i="3"/>
  <c r="AI23" i="3"/>
  <c r="AI26" i="3"/>
  <c r="AL3" i="3" l="1"/>
  <c r="AK4" i="3"/>
  <c r="AJ11" i="3"/>
  <c r="AJ23" i="3"/>
  <c r="AJ26" i="3"/>
  <c r="AJ29" i="3"/>
  <c r="AJ32" i="3"/>
  <c r="AJ5" i="3"/>
  <c r="AJ14" i="3"/>
  <c r="AJ17" i="3"/>
  <c r="AJ20" i="3"/>
  <c r="AL4" i="3" l="1"/>
  <c r="AM3" i="3"/>
  <c r="AK11" i="3"/>
  <c r="AK5" i="3"/>
  <c r="AK14" i="3"/>
  <c r="AK23" i="3"/>
  <c r="AK17" i="3"/>
  <c r="AK20" i="3"/>
  <c r="AK26" i="3"/>
  <c r="AK29" i="3"/>
  <c r="AK32" i="3"/>
  <c r="AL17" i="3" l="1"/>
  <c r="AL20" i="3"/>
  <c r="AL23" i="3"/>
  <c r="AL5" i="3"/>
  <c r="AL11" i="3"/>
  <c r="AL14" i="3"/>
  <c r="AL26" i="3"/>
  <c r="AL29" i="3"/>
  <c r="AL32" i="3"/>
  <c r="AM4" i="3"/>
  <c r="AN3" i="3"/>
  <c r="AM11" i="3" l="1"/>
  <c r="AM23" i="3"/>
  <c r="AM26" i="3"/>
  <c r="AM29" i="3"/>
  <c r="AM32" i="3"/>
  <c r="AM5" i="3"/>
  <c r="AM14" i="3"/>
  <c r="AM17" i="3"/>
  <c r="AM20" i="3"/>
  <c r="AN4" i="3"/>
  <c r="AO3" i="3"/>
  <c r="AN5" i="3" l="1"/>
  <c r="AN14" i="3"/>
  <c r="AN23" i="3"/>
  <c r="AN17" i="3"/>
  <c r="AN26" i="3"/>
  <c r="AN29" i="3"/>
  <c r="AN32" i="3"/>
  <c r="AN11" i="3"/>
  <c r="AN20" i="3"/>
  <c r="AP3" i="3"/>
  <c r="AO4" i="3"/>
  <c r="AP4" i="3" l="1"/>
  <c r="AQ3" i="3"/>
  <c r="AO17" i="3"/>
  <c r="AO23" i="3"/>
  <c r="AO5" i="3"/>
  <c r="AO11" i="3"/>
  <c r="AO20" i="3"/>
  <c r="AO14" i="3"/>
  <c r="AO26" i="3"/>
  <c r="AO29" i="3"/>
  <c r="AO32" i="3"/>
  <c r="BI45" i="3" l="1"/>
  <c r="F65" i="1" s="1"/>
  <c r="BI48" i="3"/>
  <c r="F68" i="1" s="1"/>
  <c r="BI39" i="3"/>
  <c r="F59" i="1" s="1"/>
  <c r="BI54" i="3"/>
  <c r="F74" i="1" s="1"/>
  <c r="BI51" i="3"/>
  <c r="F71" i="1" s="1"/>
  <c r="BI42" i="3"/>
  <c r="F62" i="1" s="1"/>
  <c r="BI36" i="3"/>
  <c r="F56" i="1" s="1"/>
  <c r="M13" i="1" s="1"/>
  <c r="M16" i="1" s="1"/>
  <c r="AP14" i="3"/>
  <c r="BI14" i="3" s="1"/>
  <c r="F13" i="1" s="1"/>
  <c r="AP5" i="3"/>
  <c r="AP17" i="3"/>
  <c r="BI17" i="3" s="1"/>
  <c r="F16" i="1" s="1"/>
  <c r="AP11" i="3"/>
  <c r="BI11" i="3" s="1"/>
  <c r="F10" i="1" s="1"/>
  <c r="AP20" i="3"/>
  <c r="BI20" i="3" s="1"/>
  <c r="F19" i="1" s="1"/>
  <c r="AP23" i="3"/>
  <c r="BI23" i="3" s="1"/>
  <c r="F22" i="1" s="1"/>
  <c r="AP26" i="3"/>
  <c r="BI26" i="3" s="1"/>
  <c r="F25" i="1" s="1"/>
  <c r="AP29" i="3"/>
  <c r="BI29" i="3" s="1"/>
  <c r="F28" i="1" s="1"/>
  <c r="AP32" i="3"/>
  <c r="AR3" i="3"/>
  <c r="AQ4" i="3"/>
  <c r="AS3" i="3" l="1"/>
  <c r="AR4" i="3"/>
  <c r="AQ5" i="3"/>
  <c r="M6" i="1"/>
  <c r="M9" i="1" s="1"/>
  <c r="AS4" i="3" l="1"/>
  <c r="AT3" i="3"/>
  <c r="AR5" i="3"/>
  <c r="AS5" i="3" l="1"/>
  <c r="AU3" i="3"/>
  <c r="AT4" i="3"/>
  <c r="AU4" i="3" l="1"/>
  <c r="AV3" i="3"/>
  <c r="AT5" i="3"/>
  <c r="AU5" i="3" l="1"/>
  <c r="AW3" i="3"/>
  <c r="AV4" i="3"/>
  <c r="AV5" i="3" s="1"/>
  <c r="AX3" i="3" l="1"/>
  <c r="AW4" i="3"/>
  <c r="AW5" i="3" s="1"/>
  <c r="AY3" i="3" l="1"/>
  <c r="AX4" i="3"/>
  <c r="AX5" i="3" s="1"/>
  <c r="AY4" i="3" l="1"/>
  <c r="AY5" i="3" s="1"/>
  <c r="AZ3" i="3"/>
  <c r="AZ4" i="3" l="1"/>
  <c r="AZ5" i="3" s="1"/>
  <c r="BA3" i="3"/>
  <c r="BB3" i="3" l="1"/>
  <c r="BA4" i="3"/>
  <c r="BA5" i="3" s="1"/>
  <c r="BC3" i="3" l="1"/>
  <c r="BB4" i="3"/>
  <c r="BB5" i="3" s="1"/>
  <c r="BC4" i="3" l="1"/>
  <c r="BC5" i="3" s="1"/>
  <c r="BD4" i="3"/>
  <c r="BJ20" i="3" l="1"/>
  <c r="G19" i="1" s="1"/>
  <c r="BJ32" i="3"/>
  <c r="G31" i="1" s="1"/>
  <c r="BJ14" i="3"/>
  <c r="G13" i="1" s="1"/>
  <c r="BJ23" i="3"/>
  <c r="G22" i="1" s="1"/>
  <c r="BJ17" i="3"/>
  <c r="G16" i="1" s="1"/>
  <c r="BJ54" i="3"/>
  <c r="G74" i="1" s="1"/>
  <c r="BJ29" i="3"/>
  <c r="G28" i="1" s="1"/>
  <c r="BJ42" i="3"/>
  <c r="G62" i="1" s="1"/>
  <c r="BJ39" i="3"/>
  <c r="G59" i="1" s="1"/>
  <c r="BJ11" i="3"/>
  <c r="G10" i="1" s="1"/>
  <c r="N6" i="1" s="1"/>
  <c r="N9" i="1" s="1"/>
  <c r="BJ45" i="3"/>
  <c r="G65" i="1" s="1"/>
  <c r="BJ51" i="3"/>
  <c r="G71" i="1" s="1"/>
  <c r="BJ26" i="3"/>
  <c r="G25" i="1" s="1"/>
  <c r="BJ36" i="3"/>
  <c r="G56" i="1" s="1"/>
  <c r="N13" i="1" s="1"/>
  <c r="BJ48" i="3"/>
  <c r="G68" i="1" s="1"/>
  <c r="BD5" i="3"/>
</calcChain>
</file>

<file path=xl/sharedStrings.xml><?xml version="1.0" encoding="utf-8"?>
<sst xmlns="http://schemas.openxmlformats.org/spreadsheetml/2006/main" count="371" uniqueCount="126">
  <si>
    <t>Operations</t>
  </si>
  <si>
    <t>Start</t>
  </si>
  <si>
    <t xml:space="preserve">Week of </t>
  </si>
  <si>
    <t>Q1</t>
  </si>
  <si>
    <t>Q2</t>
  </si>
  <si>
    <t>Q3</t>
  </si>
  <si>
    <t>Q4</t>
  </si>
  <si>
    <t>Array</t>
  </si>
  <si>
    <t>Data Measure</t>
  </si>
  <si>
    <t>Pioneer</t>
  </si>
  <si>
    <t>CNSM Instruments Deployed</t>
  </si>
  <si>
    <t>CNSM Instruments Telemetering</t>
  </si>
  <si>
    <t>CNSM Technical Data Availability</t>
  </si>
  <si>
    <t>CNSM Instruments Recovery Only</t>
  </si>
  <si>
    <t>CNSM Science Data Availability</t>
  </si>
  <si>
    <t>CNSM Instruments Non-Recoverable</t>
  </si>
  <si>
    <t>CNSM Data Availability Retention</t>
  </si>
  <si>
    <t>CNSW Instruments Deployed</t>
  </si>
  <si>
    <t>CNSW Instruments Telemetering</t>
  </si>
  <si>
    <t>CNSW Technical Data Availability</t>
  </si>
  <si>
    <t>CNSW Instruments Recovery Only</t>
  </si>
  <si>
    <t>CNSW Science Data Availability</t>
  </si>
  <si>
    <t>CNSW Instruments Non-Recoverable</t>
  </si>
  <si>
    <t>CNSW Data Availability Retention</t>
  </si>
  <si>
    <t>NOPM Instruments Deployed</t>
  </si>
  <si>
    <t>NOPM Instruments Telemetering</t>
  </si>
  <si>
    <t>NOPM Technical Data Availability</t>
  </si>
  <si>
    <t>NOPM Instruments Recovery Only</t>
  </si>
  <si>
    <t>NOPM Science Data Availability</t>
  </si>
  <si>
    <t>NOPM Instruments Non-Recoverable</t>
  </si>
  <si>
    <t>NOPM Data Availability Retention</t>
  </si>
  <si>
    <t>SOPM Instruments Deployed</t>
  </si>
  <si>
    <t>SOPM Instruments Telemetering</t>
  </si>
  <si>
    <t>SOPM Technical Data Availability</t>
  </si>
  <si>
    <t>SOPM Instruments Recovery Only</t>
  </si>
  <si>
    <t>SOPM Science Data Availability</t>
  </si>
  <si>
    <t>SOPM Instruments Non-Recoverable</t>
  </si>
  <si>
    <t>SOPM Data Availability Retention</t>
  </si>
  <si>
    <t>Regional Cabled Array</t>
  </si>
  <si>
    <t>RCA Technical Data Availability</t>
  </si>
  <si>
    <t>RCA Science Data Availability</t>
  </si>
  <si>
    <t>RCA Data Availability Retention</t>
  </si>
  <si>
    <t>OOI KPI Roll-Up</t>
  </si>
  <si>
    <t>KPI</t>
  </si>
  <si>
    <t>Infrastructure Preparation</t>
  </si>
  <si>
    <t>Instrument Deployment Readiness</t>
  </si>
  <si>
    <t>Vehicle Deployment Readiness</t>
  </si>
  <si>
    <t>Operations (Up Time)</t>
  </si>
  <si>
    <t>Infrastructure Deployment Readiness</t>
  </si>
  <si>
    <t>Data Delivery</t>
  </si>
  <si>
    <t>CNSM Operational Infrastructure Retention</t>
  </si>
  <si>
    <t>Average KPI</t>
  </si>
  <si>
    <t>CNSM Platform Uptime</t>
  </si>
  <si>
    <t>CNSW Operational Infrastructure Retention</t>
  </si>
  <si>
    <t>CNSW Platform Uptime</t>
  </si>
  <si>
    <t>NOPM Operational Infrastructure Retention</t>
  </si>
  <si>
    <t>NOPM Platform Uptime</t>
  </si>
  <si>
    <t>SOPM Operational Infrastructure Retention</t>
  </si>
  <si>
    <t>SOPM Platform Uptime</t>
  </si>
  <si>
    <t>CS Glider Operational Infrastructure Retention</t>
  </si>
  <si>
    <t>CS Glider Platform Uptime</t>
  </si>
  <si>
    <t>MA Glider Operational Infrastructure Retention</t>
  </si>
  <si>
    <t>MA Glider Platform Uptime</t>
  </si>
  <si>
    <t>OM Glider Operational Infrastructure Retention</t>
  </si>
  <si>
    <t>OM Glider Platform Uptime</t>
  </si>
  <si>
    <t>OF Glider Operational Infrastructure Retention</t>
  </si>
  <si>
    <t>OF Glider Platform Uptime</t>
  </si>
  <si>
    <t>PN01A - Slope Base Primary Node Instrument Retention</t>
  </si>
  <si>
    <t>PN01A - Slope Base Primary Node Platform Uptime</t>
  </si>
  <si>
    <t>PN01C - Endurance Offshore Primary Node (600m) Instrument Retention</t>
  </si>
  <si>
    <t>PN01C - Endurance Offshore Primary Node (600m) Platform Uptime</t>
  </si>
  <si>
    <t>PN01D - Endurance Shelf Primary Node Instrument Retention</t>
  </si>
  <si>
    <t>PN01D - Endurance Shelf Primary Node Platform Uptime</t>
  </si>
  <si>
    <t>PN03A - Axial Base Primary Node Instrument Retention</t>
  </si>
  <si>
    <t>PN03A - Axial Base Primary Node Platform Uptime</t>
  </si>
  <si>
    <t>PN03B - Axial Primary Node Instrument Retention</t>
  </si>
  <si>
    <t>PN03B - Axial Primary Node Platform Uptime</t>
  </si>
  <si>
    <t>PN01B - Hydrate Ridge Primary Node Instrument Retention</t>
  </si>
  <si>
    <t>PN01B - Hydrate Ridge Primary Node Platform Uptime</t>
  </si>
  <si>
    <t>Shore Station &amp; Backhaul Instrument Retention</t>
  </si>
  <si>
    <t>Shore Station &amp; Backhaul Platform Uptime</t>
  </si>
  <si>
    <t>IRR</t>
  </si>
  <si>
    <t>Pioneer Fall</t>
  </si>
  <si>
    <t>Pioneer Spring</t>
  </si>
  <si>
    <t>RCA</t>
  </si>
  <si>
    <t>Quarter of IRR (Q1, Q2, Q3, Q4)</t>
  </si>
  <si>
    <t>Baseline Instruments Planned</t>
  </si>
  <si>
    <t>Instruments Ready To Deploy</t>
  </si>
  <si>
    <t>Baseline Vehicles Planned</t>
  </si>
  <si>
    <t>Vehicles Ready To Deploy</t>
  </si>
  <si>
    <t>Infrastructure Planned</t>
  </si>
  <si>
    <t>Infrastructure Ready To Deploy</t>
  </si>
  <si>
    <t>Infrastructure Ready</t>
  </si>
  <si>
    <t>Days</t>
  </si>
  <si>
    <t>Cumulative Days</t>
  </si>
  <si>
    <t>CNSM Infrastructure Operation %</t>
  </si>
  <si>
    <t>CNSM Platform Operational Days</t>
  </si>
  <si>
    <t>CNSW Infrastructure Operation %</t>
  </si>
  <si>
    <t>CNSW Platform Operational Days</t>
  </si>
  <si>
    <t>NOPM Infrastructure Operation %</t>
  </si>
  <si>
    <t>NOPM Platform Operational Days</t>
  </si>
  <si>
    <t>SOPM Infrastructure Operation %</t>
  </si>
  <si>
    <t>SOPM Platform Operational Days</t>
  </si>
  <si>
    <t>CS Glider Infrastructure Operation %</t>
  </si>
  <si>
    <t>NA</t>
  </si>
  <si>
    <t>CS Glider Operational Days</t>
  </si>
  <si>
    <t>MA Glider Infrastructure Operation %</t>
  </si>
  <si>
    <t>MA Glider Platform Operational Days</t>
  </si>
  <si>
    <t>OM Glider Infrastructure Operation %</t>
  </si>
  <si>
    <t>OM Glider Platform Operational Days</t>
  </si>
  <si>
    <t>OF Glider Infrastructure Operation %</t>
  </si>
  <si>
    <t>OF Glider Platform Operational Days</t>
  </si>
  <si>
    <t>PN01A - Slope Base Primary Node Operation %</t>
  </si>
  <si>
    <t>PN01A - Slope Base Primary Node Operational Days</t>
  </si>
  <si>
    <t>PN01C - Endurance Offshore Primary Node (600m) Operation %</t>
  </si>
  <si>
    <t>PN01C - Endurance Offshore Primary Node (600m) Operational Days</t>
  </si>
  <si>
    <t>PN01D - Endurance Shelf Primary Node Operation %</t>
  </si>
  <si>
    <t>PN01D - Endurance Shelf Primary Node Operational Days</t>
  </si>
  <si>
    <t>PN03A - Axial Base Primary Node Operation %</t>
  </si>
  <si>
    <t>PN03A - Axial Base Primary Node Operational Days</t>
  </si>
  <si>
    <t>PN03B - Axial Primary Node Operation %</t>
  </si>
  <si>
    <t>PN03B - Axial Primary Node Operational Days</t>
  </si>
  <si>
    <t>PN01B - Hydrate Ridge Primary Node Operation %</t>
  </si>
  <si>
    <t>PN01B - Hydrate Ridge Primary Node Operational Days</t>
  </si>
  <si>
    <t>Shore Station &amp; Backhaul Operations %</t>
  </si>
  <si>
    <t>Shore Station &amp; Backhaul Operational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</si>
</sst>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" fontId="0" fillId="0" borderId="0" xfId="0" applyNumberFormat="1" applyAlignment="1">
      <alignment horizontal="center"/>
    </xf>
    <xf numFmtId="9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9" fontId="1" fillId="0" borderId="0" xfId="0" applyNumberFormat="1" applyFont="1"/>
    <xf numFmtId="0" fontId="0" fillId="0" borderId="1" xfId="0" applyBorder="1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10" fontId="0" fillId="2" borderId="0" xfId="0" applyNumberFormat="1" applyFill="1"/>
    <xf numFmtId="1" fontId="1" fillId="0" borderId="0" xfId="0" applyNumberFormat="1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"/>
  <sheetViews>
    <sheetView workbookViewId="0">
      <pane ySplit="3" topLeftCell="A38" activePane="bottomLeft" state="frozen"/>
      <selection pane="bottomLeft" activeCell="D76" sqref="D76"/>
    </sheetView>
  </sheetViews>
  <sheetFormatPr baseColWidth="10" defaultColWidth="8.83203125" defaultRowHeight="15" x14ac:dyDescent="0.2"/>
  <cols>
    <col min="1" max="1" width="18.33203125" bestFit="1" customWidth="1"/>
    <col min="2" max="2" width="22.5" customWidth="1"/>
    <col min="3" max="3" width="57.33203125" bestFit="1" customWidth="1"/>
    <col min="8" max="8" width="7.1640625" customWidth="1"/>
    <col min="9" max="9" width="18.33203125" bestFit="1" customWidth="1"/>
    <col min="10" max="10" width="24.33203125" bestFit="1" customWidth="1"/>
  </cols>
  <sheetData>
    <row r="1" spans="1:14" x14ac:dyDescent="0.2">
      <c r="A1" s="9" t="s">
        <v>42</v>
      </c>
    </row>
    <row r="3" spans="1:14" ht="16" customHeight="1" thickBot="1" x14ac:dyDescent="0.25">
      <c r="A3" s="11" t="s">
        <v>7</v>
      </c>
      <c r="B3" s="11"/>
      <c r="C3" s="11" t="s">
        <v>8</v>
      </c>
      <c r="D3" s="12" t="s">
        <v>3</v>
      </c>
      <c r="E3" s="12" t="s">
        <v>4</v>
      </c>
      <c r="F3" s="12" t="s">
        <v>5</v>
      </c>
      <c r="G3" s="12" t="s">
        <v>6</v>
      </c>
      <c r="H3" s="9"/>
      <c r="I3" s="13" t="s">
        <v>7</v>
      </c>
      <c r="J3" s="13" t="s">
        <v>43</v>
      </c>
      <c r="K3" s="12" t="s">
        <v>3</v>
      </c>
      <c r="L3" s="12" t="s">
        <v>4</v>
      </c>
      <c r="M3" s="12" t="s">
        <v>5</v>
      </c>
      <c r="N3" s="12" t="s">
        <v>6</v>
      </c>
    </row>
    <row r="4" spans="1:14" x14ac:dyDescent="0.2">
      <c r="D4" s="1"/>
      <c r="E4" s="1"/>
      <c r="F4" s="1"/>
      <c r="G4" s="1"/>
    </row>
    <row r="5" spans="1:14" x14ac:dyDescent="0.2">
      <c r="A5" s="9" t="s">
        <v>9</v>
      </c>
      <c r="B5" t="s">
        <v>44</v>
      </c>
      <c r="C5" t="s">
        <v>45</v>
      </c>
      <c r="D5" s="8">
        <f>'Infrastructure Preparation'!D11</f>
        <v>1</v>
      </c>
      <c r="E5" s="8"/>
      <c r="F5" s="8">
        <f>'Infrastructure Preparation'!E11</f>
        <v>1</v>
      </c>
      <c r="G5" s="8"/>
      <c r="I5" s="9" t="s">
        <v>9</v>
      </c>
      <c r="J5" t="s">
        <v>44</v>
      </c>
      <c r="K5" s="4">
        <f>AVERAGE(D5:D7)</f>
        <v>1</v>
      </c>
      <c r="L5" s="4"/>
      <c r="M5" s="4">
        <f>AVERAGE(F5:F7)</f>
        <v>1</v>
      </c>
      <c r="N5" s="4"/>
    </row>
    <row r="6" spans="1:14" x14ac:dyDescent="0.2">
      <c r="C6" t="s">
        <v>46</v>
      </c>
      <c r="D6" s="8" t="str">
        <f>'Infrastructure Preparation'!D15</f>
        <v>NA</v>
      </c>
      <c r="E6" s="8"/>
      <c r="F6" s="8">
        <f>'Infrastructure Preparation'!E15</f>
        <v>1</v>
      </c>
      <c r="G6" s="8"/>
      <c r="J6" t="s">
        <v>47</v>
      </c>
      <c r="K6" s="4">
        <f>AVERAGE(D9:D31)</f>
        <v>0.96777950310559002</v>
      </c>
      <c r="L6" s="4">
        <f>AVERAGE(E9:E31)</f>
        <v>0.95690993788819878</v>
      </c>
      <c r="M6" s="4">
        <f>AVERAGE(F9:F31)</f>
        <v>0.98979591836734693</v>
      </c>
      <c r="N6" s="4">
        <f>AVERAGE(G9:G31)</f>
        <v>0</v>
      </c>
    </row>
    <row r="7" spans="1:14" x14ac:dyDescent="0.2">
      <c r="C7" t="s">
        <v>48</v>
      </c>
      <c r="D7" s="8">
        <f>'Infrastructure Preparation'!D19</f>
        <v>1</v>
      </c>
      <c r="E7" s="8"/>
      <c r="F7" s="8">
        <f>'Infrastructure Preparation'!E19</f>
        <v>1</v>
      </c>
      <c r="G7" s="8"/>
      <c r="J7" t="s">
        <v>49</v>
      </c>
      <c r="K7" s="4">
        <f>AVERAGE(D33:D50)</f>
        <v>0.89063505192537462</v>
      </c>
      <c r="L7" s="4">
        <f>AVERAGE(E33:E50)</f>
        <v>0.74397746071133175</v>
      </c>
      <c r="M7" s="4">
        <f>AVERAGE(F33:F50)</f>
        <v>0.91291011855527981</v>
      </c>
      <c r="N7" s="4" t="e">
        <f>AVERAGE(G33:G50)</f>
        <v>#DIV/0!</v>
      </c>
    </row>
    <row r="8" spans="1:14" ht="16" customHeight="1" thickBot="1" x14ac:dyDescent="0.25">
      <c r="D8" s="8"/>
      <c r="E8" s="8"/>
      <c r="F8" s="8"/>
      <c r="G8" s="8"/>
      <c r="K8" s="15"/>
      <c r="L8" s="15"/>
      <c r="M8" s="15"/>
      <c r="N8" s="15"/>
    </row>
    <row r="9" spans="1:14" x14ac:dyDescent="0.2">
      <c r="B9" t="s">
        <v>47</v>
      </c>
      <c r="C9" t="s">
        <v>50</v>
      </c>
      <c r="D9" s="8">
        <f>Operations!BG10</f>
        <v>0.95652173913043481</v>
      </c>
      <c r="E9" s="8">
        <f>Operations!BH10</f>
        <v>0.86956521739130432</v>
      </c>
      <c r="F9" s="8">
        <f>Operations!BI10</f>
        <v>1</v>
      </c>
      <c r="G9" s="8">
        <f>Operations!BJ10</f>
        <v>0</v>
      </c>
      <c r="J9" s="9" t="s">
        <v>51</v>
      </c>
      <c r="K9" s="14">
        <f>AVERAGE(K5:K7)</f>
        <v>0.95280485167698814</v>
      </c>
      <c r="L9" s="14">
        <f>AVERAGE(L5:L7)</f>
        <v>0.85044369929976527</v>
      </c>
      <c r="M9" s="14">
        <f>AVERAGE(M5:M7)</f>
        <v>0.96756867897420895</v>
      </c>
      <c r="N9" s="14" t="e">
        <f>AVERAGE(N5:N7)</f>
        <v>#DIV/0!</v>
      </c>
    </row>
    <row r="10" spans="1:14" x14ac:dyDescent="0.2">
      <c r="C10" t="s">
        <v>52</v>
      </c>
      <c r="D10" s="8">
        <f>Operations!BG11</f>
        <v>1</v>
      </c>
      <c r="E10" s="8">
        <f>Operations!BH11</f>
        <v>1</v>
      </c>
      <c r="F10" s="8">
        <f>Operations!BI11</f>
        <v>1</v>
      </c>
      <c r="G10" s="8">
        <f>Operations!BJ11</f>
        <v>0</v>
      </c>
    </row>
    <row r="11" spans="1:14" x14ac:dyDescent="0.2">
      <c r="D11" s="8"/>
      <c r="E11" s="8"/>
      <c r="F11" s="8"/>
      <c r="G11" s="8"/>
    </row>
    <row r="12" spans="1:14" x14ac:dyDescent="0.2">
      <c r="C12" t="s">
        <v>53</v>
      </c>
      <c r="D12" s="8">
        <f>Operations!BG13</f>
        <v>1</v>
      </c>
      <c r="E12" s="8">
        <f>Operations!BH13</f>
        <v>1</v>
      </c>
      <c r="F12" s="8">
        <f>Operations!BI13</f>
        <v>1</v>
      </c>
      <c r="G12" s="8">
        <f>Operations!BJ13</f>
        <v>0</v>
      </c>
      <c r="I12" s="9" t="s">
        <v>38</v>
      </c>
      <c r="J12" t="s">
        <v>44</v>
      </c>
      <c r="K12" s="4"/>
      <c r="L12" s="4"/>
      <c r="M12" s="4"/>
      <c r="N12" s="4" t="e">
        <f>AVERAGE(G52:G53)</f>
        <v>#DIV/0!</v>
      </c>
    </row>
    <row r="13" spans="1:14" x14ac:dyDescent="0.2">
      <c r="C13" t="s">
        <v>54</v>
      </c>
      <c r="D13" s="8">
        <f>Operations!BG14</f>
        <v>1</v>
      </c>
      <c r="E13" s="8">
        <f>Operations!BH14</f>
        <v>1</v>
      </c>
      <c r="F13" s="8">
        <f>Operations!BI14</f>
        <v>1</v>
      </c>
      <c r="G13" s="8">
        <f>Operations!BJ14</f>
        <v>0</v>
      </c>
      <c r="J13" t="s">
        <v>47</v>
      </c>
      <c r="K13" s="4">
        <f>AVERAGE(D55:D56)</f>
        <v>0</v>
      </c>
      <c r="L13" s="4">
        <f>AVERAGE(E55:E56)</f>
        <v>0</v>
      </c>
      <c r="M13" s="4">
        <f>AVERAGE(F55:F56)</f>
        <v>0</v>
      </c>
      <c r="N13" s="4">
        <f>AVERAGE(G55:G56)</f>
        <v>0</v>
      </c>
    </row>
    <row r="14" spans="1:14" x14ac:dyDescent="0.2">
      <c r="D14" s="8"/>
      <c r="E14" s="8"/>
      <c r="F14" s="8"/>
      <c r="G14" s="8"/>
      <c r="J14" t="s">
        <v>49</v>
      </c>
      <c r="K14" s="4">
        <f>AVERAGE(D76:D78)</f>
        <v>0.9487179487179489</v>
      </c>
      <c r="L14" s="4">
        <f>AVERAGE(E76:E78)</f>
        <v>0.95256410256410262</v>
      </c>
      <c r="M14" s="4">
        <f>AVERAGE(F76:F78)</f>
        <v>0.94461538461538463</v>
      </c>
      <c r="N14" s="4">
        <f>AVERAGE(G76:G78)</f>
        <v>0</v>
      </c>
    </row>
    <row r="15" spans="1:14" ht="16" customHeight="1" thickBot="1" x14ac:dyDescent="0.25">
      <c r="C15" t="s">
        <v>55</v>
      </c>
      <c r="D15" s="8">
        <f>Operations!BG16</f>
        <v>0.7857142857142857</v>
      </c>
      <c r="E15" s="8">
        <f>Operations!BH16</f>
        <v>0.7857142857142857</v>
      </c>
      <c r="F15" s="8">
        <f>Operations!BI16</f>
        <v>0.9285714285714286</v>
      </c>
      <c r="G15" s="8">
        <f>Operations!BJ16</f>
        <v>0</v>
      </c>
      <c r="K15" s="15"/>
      <c r="L15" s="15"/>
      <c r="M15" s="15"/>
      <c r="N15" s="15"/>
    </row>
    <row r="16" spans="1:14" x14ac:dyDescent="0.2">
      <c r="C16" t="s">
        <v>56</v>
      </c>
      <c r="D16" s="8">
        <f>Operations!BG17</f>
        <v>1</v>
      </c>
      <c r="E16" s="8">
        <f>Operations!BH17</f>
        <v>1</v>
      </c>
      <c r="F16" s="8">
        <f>Operations!BI17</f>
        <v>1</v>
      </c>
      <c r="G16" s="8">
        <f>Operations!BJ17</f>
        <v>0</v>
      </c>
      <c r="J16" s="9" t="s">
        <v>51</v>
      </c>
      <c r="K16" s="14">
        <f>AVERAGE(K12:K14)</f>
        <v>0.47435897435897445</v>
      </c>
      <c r="L16" s="14">
        <f>AVERAGE(L12:L14)</f>
        <v>0.47628205128205131</v>
      </c>
      <c r="M16" s="14">
        <f>AVERAGE(M12:M14)</f>
        <v>0.47230769230769232</v>
      </c>
      <c r="N16" s="14" t="e">
        <f>AVERAGE(N12:N14)</f>
        <v>#DIV/0!</v>
      </c>
    </row>
    <row r="17" spans="3:7" x14ac:dyDescent="0.2">
      <c r="D17" s="8"/>
      <c r="E17" s="8"/>
      <c r="F17" s="8"/>
      <c r="G17" s="8"/>
    </row>
    <row r="18" spans="3:7" x14ac:dyDescent="0.2">
      <c r="C18" t="s">
        <v>57</v>
      </c>
      <c r="D18" s="8">
        <f>Operations!BG19</f>
        <v>1</v>
      </c>
      <c r="E18" s="8">
        <f>Operations!BH19</f>
        <v>1</v>
      </c>
      <c r="F18" s="8">
        <f>Operations!BI19</f>
        <v>0.9285714285714286</v>
      </c>
      <c r="G18" s="8">
        <f>Operations!BJ19</f>
        <v>0</v>
      </c>
    </row>
    <row r="19" spans="3:7" x14ac:dyDescent="0.2">
      <c r="C19" t="s">
        <v>58</v>
      </c>
      <c r="D19" s="8">
        <f>Operations!BG20</f>
        <v>1</v>
      </c>
      <c r="E19" s="8">
        <f>Operations!BH20</f>
        <v>1</v>
      </c>
      <c r="F19" s="8">
        <f>Operations!BI20</f>
        <v>1</v>
      </c>
      <c r="G19" s="8">
        <f>Operations!BJ20</f>
        <v>0</v>
      </c>
    </row>
    <row r="20" spans="3:7" x14ac:dyDescent="0.2">
      <c r="D20" s="8"/>
      <c r="E20" s="8"/>
      <c r="F20" s="8"/>
      <c r="G20" s="8"/>
    </row>
    <row r="21" spans="3:7" x14ac:dyDescent="0.2">
      <c r="C21" t="s">
        <v>59</v>
      </c>
      <c r="D21" s="8" t="str">
        <f>Operations!BG22</f>
        <v>NA</v>
      </c>
      <c r="E21" s="8" t="str">
        <f>Operations!BH22</f>
        <v>NA</v>
      </c>
      <c r="F21" s="8">
        <f>Operations!BI22</f>
        <v>1</v>
      </c>
      <c r="G21" s="8">
        <f>Operations!BJ22</f>
        <v>0</v>
      </c>
    </row>
    <row r="22" spans="3:7" x14ac:dyDescent="0.2">
      <c r="C22" t="s">
        <v>60</v>
      </c>
      <c r="D22" s="8" t="str">
        <f>Operations!BG23</f>
        <v>NA</v>
      </c>
      <c r="E22" s="8" t="str">
        <f>Operations!BH23</f>
        <v>NA</v>
      </c>
      <c r="F22" s="8">
        <f>Operations!BI23</f>
        <v>1</v>
      </c>
      <c r="G22" s="8">
        <f>Operations!BJ23</f>
        <v>0</v>
      </c>
    </row>
    <row r="23" spans="3:7" x14ac:dyDescent="0.2">
      <c r="D23" s="8"/>
      <c r="E23" s="8"/>
      <c r="F23" s="8"/>
      <c r="G23" s="8"/>
    </row>
    <row r="24" spans="3:7" x14ac:dyDescent="0.2">
      <c r="C24" t="s">
        <v>61</v>
      </c>
      <c r="D24" s="8" t="str">
        <f>Operations!BG25</f>
        <v>NA</v>
      </c>
      <c r="E24" s="8" t="str">
        <f>Operations!BH25</f>
        <v>NA</v>
      </c>
      <c r="F24" s="8">
        <f>Operations!BI25</f>
        <v>1</v>
      </c>
      <c r="G24" s="8">
        <f>Operations!BJ25</f>
        <v>0</v>
      </c>
    </row>
    <row r="25" spans="3:7" x14ac:dyDescent="0.2">
      <c r="C25" t="s">
        <v>62</v>
      </c>
      <c r="D25" s="8" t="str">
        <f>Operations!BG26</f>
        <v>NA</v>
      </c>
      <c r="E25" s="8" t="str">
        <f>Operations!BH26</f>
        <v>NA</v>
      </c>
      <c r="F25" s="8">
        <f>Operations!BI26</f>
        <v>1</v>
      </c>
      <c r="G25" s="8">
        <f>Operations!BJ26</f>
        <v>0</v>
      </c>
    </row>
    <row r="26" spans="3:7" x14ac:dyDescent="0.2">
      <c r="D26" s="8"/>
      <c r="E26" s="8"/>
      <c r="F26" s="8"/>
      <c r="G26" s="8"/>
    </row>
    <row r="27" spans="3:7" x14ac:dyDescent="0.2">
      <c r="C27" t="s">
        <v>63</v>
      </c>
      <c r="D27" s="8" t="str">
        <f>Operations!BG28</f>
        <v>NA</v>
      </c>
      <c r="E27" s="8" t="str">
        <f>Operations!BH28</f>
        <v>NA</v>
      </c>
      <c r="F27" s="8">
        <f>Operations!BI28</f>
        <v>1</v>
      </c>
      <c r="G27" s="8">
        <f>Operations!BJ28</f>
        <v>0</v>
      </c>
    </row>
    <row r="28" spans="3:7" x14ac:dyDescent="0.2">
      <c r="C28" t="s">
        <v>64</v>
      </c>
      <c r="D28" s="8" t="str">
        <f>Operations!BG29</f>
        <v>NA</v>
      </c>
      <c r="E28" s="8" t="str">
        <f>Operations!BH29</f>
        <v>NA</v>
      </c>
      <c r="F28" s="8">
        <f>Operations!BI29</f>
        <v>1</v>
      </c>
      <c r="G28" s="8">
        <f>Operations!BJ29</f>
        <v>0</v>
      </c>
    </row>
    <row r="29" spans="3:7" x14ac:dyDescent="0.2">
      <c r="D29" s="8"/>
      <c r="E29" s="8"/>
      <c r="F29" s="8"/>
      <c r="G29" s="8"/>
    </row>
    <row r="30" spans="3:7" x14ac:dyDescent="0.2">
      <c r="C30" t="s">
        <v>65</v>
      </c>
      <c r="D30" s="8" t="str">
        <f>Operations!BG31</f>
        <v>NA</v>
      </c>
      <c r="E30" s="8" t="str">
        <f>Operations!BH31</f>
        <v>NA</v>
      </c>
      <c r="F30" s="8" t="str">
        <f>Operations!BI31</f>
        <v>NA</v>
      </c>
      <c r="G30" s="8">
        <f>Operations!BJ31</f>
        <v>0</v>
      </c>
    </row>
    <row r="31" spans="3:7" x14ac:dyDescent="0.2">
      <c r="C31" t="s">
        <v>66</v>
      </c>
      <c r="D31" s="8" t="str">
        <f>Operations!BG32</f>
        <v>NA</v>
      </c>
      <c r="E31" s="8" t="str">
        <f>Operations!BH32</f>
        <v>NA</v>
      </c>
      <c r="F31" s="8" t="str">
        <f>Operations!BI32</f>
        <v>NA</v>
      </c>
      <c r="G31" s="8">
        <f>Operations!BJ32</f>
        <v>0</v>
      </c>
    </row>
    <row r="32" spans="3:7" x14ac:dyDescent="0.2">
      <c r="D32" s="8"/>
      <c r="E32" s="8"/>
      <c r="F32" s="8"/>
      <c r="G32" s="8"/>
    </row>
    <row r="33" spans="2:7" x14ac:dyDescent="0.2">
      <c r="B33" t="s">
        <v>49</v>
      </c>
      <c r="C33" t="s">
        <v>12</v>
      </c>
      <c r="D33" s="8">
        <f>'Data Delivery'!DJ11</f>
        <v>1</v>
      </c>
      <c r="E33" s="8">
        <f>'Data Delivery'!DK11</f>
        <v>1</v>
      </c>
      <c r="F33" s="8">
        <f>'Data Delivery'!DL11</f>
        <v>1</v>
      </c>
      <c r="G33" s="8" t="e">
        <f>'Data Delivery'!DM11</f>
        <v>#DIV/0!</v>
      </c>
    </row>
    <row r="34" spans="2:7" x14ac:dyDescent="0.2">
      <c r="C34" t="s">
        <v>14</v>
      </c>
      <c r="D34" s="8">
        <f>'Data Delivery'!DJ12</f>
        <v>1</v>
      </c>
      <c r="E34" s="8">
        <f>'Data Delivery'!DK12</f>
        <v>0.9198717948717946</v>
      </c>
      <c r="F34" s="8">
        <f>'Data Delivery'!DL12</f>
        <v>0.9358974358974359</v>
      </c>
      <c r="G34" s="8">
        <f>'Data Delivery'!DM12</f>
        <v>0</v>
      </c>
    </row>
    <row r="35" spans="2:7" x14ac:dyDescent="0.2">
      <c r="C35" t="s">
        <v>16</v>
      </c>
      <c r="D35" s="8">
        <f>'Data Delivery'!DJ13</f>
        <v>0.93548387096774188</v>
      </c>
      <c r="E35" s="8">
        <f>'Data Delivery'!DK13</f>
        <v>0.84119106699751844</v>
      </c>
      <c r="F35" s="8">
        <f>'Data Delivery'!DL13</f>
        <v>0.89081885856079401</v>
      </c>
      <c r="G35" s="8" t="e">
        <f>'Data Delivery'!DM13</f>
        <v>#DIV/0!</v>
      </c>
    </row>
    <row r="36" spans="2:7" x14ac:dyDescent="0.2">
      <c r="D36" s="8"/>
      <c r="E36" s="8"/>
      <c r="F36" s="8"/>
      <c r="G36" s="8"/>
    </row>
    <row r="37" spans="2:7" x14ac:dyDescent="0.2">
      <c r="D37" s="8"/>
      <c r="E37" s="8"/>
      <c r="F37" s="8"/>
      <c r="G37" s="8"/>
    </row>
    <row r="38" spans="2:7" x14ac:dyDescent="0.2">
      <c r="C38" t="s">
        <v>19</v>
      </c>
      <c r="D38" s="8">
        <f>'Data Delivery'!DJ16</f>
        <v>0.94871794871794868</v>
      </c>
      <c r="E38" s="8">
        <f>'Data Delivery'!DK16</f>
        <v>0.66666666666666663</v>
      </c>
      <c r="F38" s="8">
        <f>'Data Delivery'!DL16</f>
        <v>0.89743589743589736</v>
      </c>
      <c r="G38" s="8" t="e">
        <f>'Data Delivery'!DM16</f>
        <v>#DIV/0!</v>
      </c>
    </row>
    <row r="39" spans="2:7" x14ac:dyDescent="0.2">
      <c r="C39" t="s">
        <v>21</v>
      </c>
      <c r="D39" s="8">
        <f>'Data Delivery'!DJ17</f>
        <v>0.92307692307692313</v>
      </c>
      <c r="E39" s="8">
        <f>'Data Delivery'!DK17</f>
        <v>0.5</v>
      </c>
      <c r="F39" s="8">
        <f>'Data Delivery'!DL17</f>
        <v>0.84615384615384615</v>
      </c>
      <c r="G39" s="8">
        <f>'Data Delivery'!DM17</f>
        <v>0</v>
      </c>
    </row>
    <row r="40" spans="2:7" x14ac:dyDescent="0.2">
      <c r="C40" t="s">
        <v>23</v>
      </c>
      <c r="D40" s="8">
        <f>'Data Delivery'!DJ18</f>
        <v>1</v>
      </c>
      <c r="E40" s="8">
        <f>'Data Delivery'!DK18</f>
        <v>1</v>
      </c>
      <c r="F40" s="8">
        <f>'Data Delivery'!DL18</f>
        <v>1</v>
      </c>
      <c r="G40" s="8" t="e">
        <f>'Data Delivery'!DM18</f>
        <v>#DIV/0!</v>
      </c>
    </row>
    <row r="41" spans="2:7" x14ac:dyDescent="0.2">
      <c r="D41" s="8"/>
      <c r="E41" s="8"/>
      <c r="F41" s="8"/>
      <c r="G41" s="8"/>
    </row>
    <row r="42" spans="2:7" x14ac:dyDescent="0.2">
      <c r="D42" s="8"/>
      <c r="E42" s="8"/>
      <c r="F42" s="8"/>
      <c r="G42" s="8"/>
    </row>
    <row r="43" spans="2:7" x14ac:dyDescent="0.2">
      <c r="C43" t="s">
        <v>26</v>
      </c>
      <c r="D43" s="8">
        <f>'Data Delivery'!DJ21</f>
        <v>0.46153846153846156</v>
      </c>
      <c r="E43" s="8">
        <f>'Data Delivery'!DK21</f>
        <v>0</v>
      </c>
      <c r="F43" s="8">
        <f>'Data Delivery'!DL21</f>
        <v>0.69230769230769229</v>
      </c>
      <c r="G43" s="8" t="e">
        <f>'Data Delivery'!DM21</f>
        <v>#DIV/0!</v>
      </c>
    </row>
    <row r="44" spans="2:7" x14ac:dyDescent="0.2">
      <c r="C44" t="s">
        <v>28</v>
      </c>
      <c r="D44" s="8">
        <f>'Data Delivery'!DJ22</f>
        <v>0.46153846153846156</v>
      </c>
      <c r="E44" s="8">
        <f>'Data Delivery'!DK22</f>
        <v>0</v>
      </c>
      <c r="F44" s="8">
        <f>'Data Delivery'!DL22</f>
        <v>0.69230769230769229</v>
      </c>
      <c r="G44" s="8">
        <f>'Data Delivery'!DM22</f>
        <v>0</v>
      </c>
    </row>
    <row r="45" spans="2:7" x14ac:dyDescent="0.2">
      <c r="C45" t="s">
        <v>30</v>
      </c>
      <c r="D45" s="8">
        <f>'Data Delivery'!DJ23</f>
        <v>0.95726495726495731</v>
      </c>
      <c r="E45" s="8">
        <f>'Data Delivery'!DK23</f>
        <v>1</v>
      </c>
      <c r="F45" s="8">
        <f>'Data Delivery'!DL23</f>
        <v>1</v>
      </c>
      <c r="G45" s="8" t="e">
        <f>'Data Delivery'!DM23</f>
        <v>#DIV/0!</v>
      </c>
    </row>
    <row r="46" spans="2:7" x14ac:dyDescent="0.2">
      <c r="D46" s="8"/>
      <c r="E46" s="8"/>
      <c r="F46" s="8"/>
      <c r="G46" s="8"/>
    </row>
    <row r="47" spans="2:7" x14ac:dyDescent="0.2">
      <c r="D47" s="8"/>
      <c r="E47" s="8"/>
      <c r="F47" s="8"/>
      <c r="G47" s="8"/>
    </row>
    <row r="48" spans="2:7" x14ac:dyDescent="0.2">
      <c r="C48" t="s">
        <v>33</v>
      </c>
      <c r="D48" s="8">
        <f>'Data Delivery'!DJ26</f>
        <v>1</v>
      </c>
      <c r="E48" s="8">
        <f>'Data Delivery'!DK26</f>
        <v>1</v>
      </c>
      <c r="F48" s="8">
        <f>'Data Delivery'!DL26</f>
        <v>1</v>
      </c>
      <c r="G48" s="8" t="e">
        <f>'Data Delivery'!DM26</f>
        <v>#DIV/0!</v>
      </c>
    </row>
    <row r="49" spans="1:7" x14ac:dyDescent="0.2">
      <c r="C49" t="s">
        <v>35</v>
      </c>
      <c r="D49" s="8">
        <f>'Data Delivery'!DJ27</f>
        <v>1</v>
      </c>
      <c r="E49" s="8">
        <f>'Data Delivery'!DK27</f>
        <v>1</v>
      </c>
      <c r="F49" s="8">
        <f>'Data Delivery'!DL27</f>
        <v>1</v>
      </c>
      <c r="G49" s="8">
        <f>'Data Delivery'!DM27</f>
        <v>0</v>
      </c>
    </row>
    <row r="50" spans="1:7" x14ac:dyDescent="0.2">
      <c r="C50" t="s">
        <v>37</v>
      </c>
      <c r="D50" s="8">
        <f>'Data Delivery'!DJ28</f>
        <v>1</v>
      </c>
      <c r="E50" s="8">
        <f>'Data Delivery'!DK28</f>
        <v>1</v>
      </c>
      <c r="F50" s="8">
        <f>'Data Delivery'!DL28</f>
        <v>1</v>
      </c>
      <c r="G50" s="8" t="e">
        <f>'Data Delivery'!DM28</f>
        <v>#DIV/0!</v>
      </c>
    </row>
    <row r="51" spans="1:7" x14ac:dyDescent="0.2">
      <c r="D51" s="8"/>
      <c r="E51" s="8"/>
      <c r="F51" s="8"/>
      <c r="G51" s="8"/>
    </row>
    <row r="52" spans="1:7" x14ac:dyDescent="0.2">
      <c r="A52" s="9" t="s">
        <v>38</v>
      </c>
      <c r="B52" t="s">
        <v>44</v>
      </c>
      <c r="C52" t="s">
        <v>45</v>
      </c>
      <c r="D52" s="8"/>
      <c r="E52" s="8"/>
      <c r="F52" s="8"/>
      <c r="G52" s="8" t="str">
        <f>'Infrastructure Preparation'!F24</f>
        <v>NA</v>
      </c>
    </row>
    <row r="53" spans="1:7" x14ac:dyDescent="0.2">
      <c r="C53" t="s">
        <v>48</v>
      </c>
      <c r="D53" s="8"/>
      <c r="E53" s="8"/>
      <c r="F53" s="8"/>
      <c r="G53" s="8" t="str">
        <f>'Infrastructure Preparation'!F28</f>
        <v>NA</v>
      </c>
    </row>
    <row r="54" spans="1:7" x14ac:dyDescent="0.2">
      <c r="D54" s="8"/>
      <c r="E54" s="8"/>
      <c r="F54" s="8"/>
      <c r="G54" s="8"/>
    </row>
    <row r="55" spans="1:7" x14ac:dyDescent="0.2">
      <c r="B55" t="s">
        <v>0</v>
      </c>
      <c r="C55" t="s">
        <v>67</v>
      </c>
      <c r="D55" s="8">
        <f>Operations!BG35</f>
        <v>0</v>
      </c>
      <c r="E55" s="8">
        <f>Operations!BH35</f>
        <v>0</v>
      </c>
      <c r="F55" s="8">
        <f>Operations!BI35</f>
        <v>0</v>
      </c>
      <c r="G55" s="8">
        <f>Operations!BJ35</f>
        <v>0</v>
      </c>
    </row>
    <row r="56" spans="1:7" x14ac:dyDescent="0.2">
      <c r="C56" t="s">
        <v>68</v>
      </c>
      <c r="D56" s="8">
        <f>Operations!BG36</f>
        <v>0</v>
      </c>
      <c r="E56" s="8">
        <f>Operations!BH36</f>
        <v>0</v>
      </c>
      <c r="F56" s="8">
        <f>Operations!BI36</f>
        <v>0</v>
      </c>
      <c r="G56" s="8">
        <f>Operations!BJ36</f>
        <v>0</v>
      </c>
    </row>
    <row r="57" spans="1:7" x14ac:dyDescent="0.2">
      <c r="D57" s="8"/>
      <c r="E57" s="8"/>
      <c r="F57" s="8"/>
      <c r="G57" s="8"/>
    </row>
    <row r="58" spans="1:7" x14ac:dyDescent="0.2">
      <c r="C58" t="s">
        <v>69</v>
      </c>
      <c r="D58" s="8">
        <f>Operations!BG38</f>
        <v>0</v>
      </c>
      <c r="E58" s="8">
        <f>Operations!BH38</f>
        <v>0</v>
      </c>
      <c r="F58" s="8">
        <f>Operations!BI38</f>
        <v>0</v>
      </c>
      <c r="G58" s="8">
        <f>Operations!BJ38</f>
        <v>0</v>
      </c>
    </row>
    <row r="59" spans="1:7" x14ac:dyDescent="0.2">
      <c r="C59" t="s">
        <v>70</v>
      </c>
      <c r="D59" s="8">
        <f>Operations!BG39</f>
        <v>0</v>
      </c>
      <c r="E59" s="8">
        <f>Operations!BH39</f>
        <v>0</v>
      </c>
      <c r="F59" s="8">
        <f>Operations!BI39</f>
        <v>0</v>
      </c>
      <c r="G59" s="8">
        <f>Operations!BJ39</f>
        <v>0</v>
      </c>
    </row>
    <row r="60" spans="1:7" x14ac:dyDescent="0.2">
      <c r="D60" s="8"/>
      <c r="E60" s="8"/>
      <c r="F60" s="8"/>
      <c r="G60" s="8"/>
    </row>
    <row r="61" spans="1:7" x14ac:dyDescent="0.2">
      <c r="C61" t="s">
        <v>71</v>
      </c>
      <c r="D61" s="8">
        <f>Operations!BG41</f>
        <v>0</v>
      </c>
      <c r="E61" s="8">
        <f>Operations!BH41</f>
        <v>0</v>
      </c>
      <c r="F61" s="8">
        <f>Operations!BI41</f>
        <v>0</v>
      </c>
      <c r="G61" s="8">
        <f>Operations!BJ41</f>
        <v>0</v>
      </c>
    </row>
    <row r="62" spans="1:7" x14ac:dyDescent="0.2">
      <c r="C62" t="s">
        <v>72</v>
      </c>
      <c r="D62" s="8">
        <f>Operations!BG42</f>
        <v>0</v>
      </c>
      <c r="E62" s="8">
        <f>Operations!BH42</f>
        <v>0</v>
      </c>
      <c r="F62" s="8">
        <f>Operations!BI42</f>
        <v>0</v>
      </c>
      <c r="G62" s="8">
        <f>Operations!BJ42</f>
        <v>0</v>
      </c>
    </row>
    <row r="63" spans="1:7" x14ac:dyDescent="0.2">
      <c r="D63" s="8"/>
      <c r="E63" s="8"/>
      <c r="F63" s="8"/>
      <c r="G63" s="8"/>
    </row>
    <row r="64" spans="1:7" x14ac:dyDescent="0.2">
      <c r="C64" t="s">
        <v>73</v>
      </c>
      <c r="D64" s="8">
        <f>Operations!BG44</f>
        <v>0</v>
      </c>
      <c r="E64" s="8">
        <f>Operations!BH44</f>
        <v>0</v>
      </c>
      <c r="F64" s="8">
        <f>Operations!BI44</f>
        <v>0</v>
      </c>
      <c r="G64" s="8">
        <f>Operations!BJ44</f>
        <v>0</v>
      </c>
    </row>
    <row r="65" spans="2:7" x14ac:dyDescent="0.2">
      <c r="C65" t="s">
        <v>74</v>
      </c>
      <c r="D65" s="8">
        <f>Operations!BG45</f>
        <v>0</v>
      </c>
      <c r="E65" s="8">
        <f>Operations!BH45</f>
        <v>0</v>
      </c>
      <c r="F65" s="8">
        <f>Operations!BI45</f>
        <v>0</v>
      </c>
      <c r="G65" s="8">
        <f>Operations!BJ45</f>
        <v>0</v>
      </c>
    </row>
    <row r="66" spans="2:7" x14ac:dyDescent="0.2">
      <c r="D66" s="8"/>
      <c r="E66" s="8"/>
      <c r="F66" s="8"/>
      <c r="G66" s="8"/>
    </row>
    <row r="67" spans="2:7" x14ac:dyDescent="0.2">
      <c r="C67" t="s">
        <v>75</v>
      </c>
      <c r="D67" s="8">
        <f>Operations!BG47</f>
        <v>0</v>
      </c>
      <c r="E67" s="8">
        <f>Operations!BH47</f>
        <v>0</v>
      </c>
      <c r="F67" s="8">
        <f>Operations!BI47</f>
        <v>0</v>
      </c>
      <c r="G67" s="8">
        <f>Operations!BJ47</f>
        <v>0</v>
      </c>
    </row>
    <row r="68" spans="2:7" x14ac:dyDescent="0.2">
      <c r="C68" t="s">
        <v>76</v>
      </c>
      <c r="D68" s="8">
        <f>Operations!BG48</f>
        <v>0</v>
      </c>
      <c r="E68" s="8">
        <f>Operations!BH48</f>
        <v>0</v>
      </c>
      <c r="F68" s="8">
        <f>Operations!BI48</f>
        <v>0</v>
      </c>
      <c r="G68" s="8">
        <f>Operations!BJ48</f>
        <v>0</v>
      </c>
    </row>
    <row r="69" spans="2:7" x14ac:dyDescent="0.2">
      <c r="D69" s="8"/>
      <c r="E69" s="8"/>
      <c r="F69" s="8"/>
      <c r="G69" s="8"/>
    </row>
    <row r="70" spans="2:7" x14ac:dyDescent="0.2">
      <c r="C70" t="s">
        <v>77</v>
      </c>
      <c r="D70" s="8">
        <f>Operations!BG50</f>
        <v>0</v>
      </c>
      <c r="E70" s="8">
        <f>Operations!BH50</f>
        <v>0</v>
      </c>
      <c r="F70" s="8">
        <f>Operations!BI50</f>
        <v>0</v>
      </c>
      <c r="G70" s="8">
        <f>Operations!BJ50</f>
        <v>0</v>
      </c>
    </row>
    <row r="71" spans="2:7" x14ac:dyDescent="0.2">
      <c r="C71" t="s">
        <v>78</v>
      </c>
      <c r="D71" s="8">
        <f>Operations!BG51</f>
        <v>0</v>
      </c>
      <c r="E71" s="8">
        <f>Operations!BH51</f>
        <v>0</v>
      </c>
      <c r="F71" s="8">
        <f>Operations!BI51</f>
        <v>0</v>
      </c>
      <c r="G71" s="8">
        <f>Operations!BJ51</f>
        <v>0</v>
      </c>
    </row>
    <row r="72" spans="2:7" x14ac:dyDescent="0.2">
      <c r="D72" s="8"/>
      <c r="E72" s="8"/>
      <c r="F72" s="8"/>
      <c r="G72" s="8"/>
    </row>
    <row r="73" spans="2:7" x14ac:dyDescent="0.2">
      <c r="C73" t="s">
        <v>79</v>
      </c>
      <c r="D73" s="8">
        <f>Operations!BG53</f>
        <v>0</v>
      </c>
      <c r="E73" s="8">
        <f>Operations!BH53</f>
        <v>0</v>
      </c>
      <c r="F73" s="8">
        <f>Operations!BI53</f>
        <v>0</v>
      </c>
      <c r="G73" s="8">
        <f>Operations!BJ53</f>
        <v>0</v>
      </c>
    </row>
    <row r="74" spans="2:7" x14ac:dyDescent="0.2">
      <c r="C74" t="s">
        <v>80</v>
      </c>
      <c r="D74" s="8">
        <f>Operations!BG54</f>
        <v>0</v>
      </c>
      <c r="E74" s="8">
        <f>Operations!BH54</f>
        <v>0</v>
      </c>
      <c r="F74" s="8">
        <f>Operations!BI54</f>
        <v>0</v>
      </c>
      <c r="G74" s="8">
        <f>Operations!BJ54</f>
        <v>0</v>
      </c>
    </row>
    <row r="75" spans="2:7" x14ac:dyDescent="0.2">
      <c r="D75" s="8"/>
      <c r="E75" s="8"/>
      <c r="F75" s="8"/>
      <c r="G75" s="8"/>
    </row>
    <row r="76" spans="2:7" x14ac:dyDescent="0.2">
      <c r="B76" t="s">
        <v>49</v>
      </c>
      <c r="C76" t="s">
        <v>39</v>
      </c>
      <c r="D76" s="8">
        <f>'Data Delivery'!DJ32</f>
        <v>0.96538461538461562</v>
      </c>
      <c r="E76" s="8">
        <f>'Data Delivery'!DK32</f>
        <v>0.97769230769230786</v>
      </c>
      <c r="F76" s="8">
        <f>'Data Delivery'!DL32</f>
        <v>0.98000000000000032</v>
      </c>
      <c r="G76" s="8">
        <f>'Data Delivery'!DM32</f>
        <v>0</v>
      </c>
    </row>
    <row r="77" spans="2:7" x14ac:dyDescent="0.2">
      <c r="C77" t="s">
        <v>40</v>
      </c>
      <c r="D77" s="8">
        <f>'Data Delivery'!DJ33</f>
        <v>0.9600000000000003</v>
      </c>
      <c r="E77" s="8">
        <f>'Data Delivery'!DK33</f>
        <v>0.96615384615384603</v>
      </c>
      <c r="F77" s="8">
        <f>'Data Delivery'!DL33</f>
        <v>0.94230769230769207</v>
      </c>
      <c r="G77" s="8">
        <f>'Data Delivery'!DM33</f>
        <v>0</v>
      </c>
    </row>
    <row r="78" spans="2:7" x14ac:dyDescent="0.2">
      <c r="C78" t="s">
        <v>41</v>
      </c>
      <c r="D78" s="8">
        <f>'Data Delivery'!DJ34</f>
        <v>0.92076923076923078</v>
      </c>
      <c r="E78" s="8">
        <f>'Data Delivery'!DK34</f>
        <v>0.91384615384615386</v>
      </c>
      <c r="F78" s="8">
        <f>'Data Delivery'!DL34</f>
        <v>0.91153846153846163</v>
      </c>
      <c r="G78" s="8">
        <f>'Data Delivery'!DM34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28"/>
  <sheetViews>
    <sheetView workbookViewId="0">
      <selection activeCell="F24" sqref="F24"/>
    </sheetView>
  </sheetViews>
  <sheetFormatPr baseColWidth="10" defaultColWidth="8.83203125" defaultRowHeight="15" x14ac:dyDescent="0.2"/>
  <cols>
    <col min="1" max="1" width="14.1640625" customWidth="1"/>
    <col min="2" max="2" width="20.6640625" bestFit="1" customWidth="1"/>
    <col min="3" max="3" width="34.33203125" bestFit="1" customWidth="1"/>
    <col min="4" max="6" width="14.6640625" customWidth="1"/>
    <col min="7" max="7" width="9.33203125" bestFit="1" customWidth="1"/>
    <col min="8" max="11" width="9.83203125" bestFit="1" customWidth="1"/>
    <col min="12" max="16" width="9.6640625" bestFit="1" customWidth="1"/>
    <col min="17" max="20" width="9.33203125" bestFit="1" customWidth="1"/>
    <col min="21" max="24" width="9.6640625" bestFit="1" customWidth="1"/>
    <col min="25" max="29" width="9.83203125" bestFit="1" customWidth="1"/>
    <col min="30" max="33" width="9.33203125" bestFit="1" customWidth="1"/>
    <col min="34" max="37" width="10" bestFit="1" customWidth="1"/>
    <col min="38" max="42" width="9.33203125" bestFit="1" customWidth="1"/>
    <col min="43" max="46" width="8.83203125" bestFit="1" customWidth="1"/>
    <col min="47" max="55" width="9.6640625" bestFit="1" customWidth="1"/>
    <col min="56" max="56" width="9.33203125" bestFit="1" customWidth="1"/>
  </cols>
  <sheetData>
    <row r="1" spans="1:56" x14ac:dyDescent="0.2">
      <c r="A1" s="9" t="s">
        <v>44</v>
      </c>
      <c r="B1" s="9"/>
      <c r="C1" s="9"/>
      <c r="D1" s="9"/>
      <c r="E1" s="9"/>
      <c r="F1" s="9"/>
    </row>
    <row r="2" spans="1:56" x14ac:dyDescent="0.2">
      <c r="A2" s="9"/>
      <c r="B2" s="9"/>
      <c r="C2" s="9"/>
      <c r="D2" s="9"/>
      <c r="E2" s="9"/>
      <c r="F2" s="9"/>
    </row>
    <row r="3" spans="1:56" x14ac:dyDescent="0.2">
      <c r="A3" s="9"/>
      <c r="B3" s="10"/>
      <c r="C3" s="16" t="s">
        <v>81</v>
      </c>
      <c r="D3" s="17" t="s">
        <v>82</v>
      </c>
      <c r="E3" s="17" t="s">
        <v>83</v>
      </c>
      <c r="F3" s="17" t="s">
        <v>84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 spans="1:56" x14ac:dyDescent="0.2">
      <c r="A4" s="9"/>
      <c r="B4" s="10"/>
      <c r="C4" s="16" t="s">
        <v>85</v>
      </c>
      <c r="D4" s="17" t="s">
        <v>3</v>
      </c>
      <c r="E4" s="17" t="s">
        <v>5</v>
      </c>
      <c r="F4" s="17" t="s">
        <v>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 spans="1:56" x14ac:dyDescent="0.2">
      <c r="B5" s="1"/>
      <c r="C5" s="6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 spans="1:56" x14ac:dyDescent="0.2">
      <c r="B6" s="10" t="s">
        <v>7</v>
      </c>
      <c r="C6" s="10" t="s">
        <v>8</v>
      </c>
    </row>
    <row r="8" spans="1:56" x14ac:dyDescent="0.2">
      <c r="B8" s="9" t="s">
        <v>9</v>
      </c>
    </row>
    <row r="9" spans="1:56" x14ac:dyDescent="0.2">
      <c r="B9" s="9"/>
      <c r="C9" t="s">
        <v>86</v>
      </c>
      <c r="D9" s="7">
        <v>60</v>
      </c>
      <c r="E9" s="7">
        <v>60</v>
      </c>
      <c r="F9" s="1"/>
    </row>
    <row r="10" spans="1:56" x14ac:dyDescent="0.2">
      <c r="B10" s="9"/>
      <c r="C10" t="s">
        <v>87</v>
      </c>
      <c r="D10" s="7">
        <v>60</v>
      </c>
      <c r="E10" s="7">
        <v>60</v>
      </c>
      <c r="F10" s="1"/>
    </row>
    <row r="11" spans="1:56" x14ac:dyDescent="0.2">
      <c r="B11" s="9"/>
      <c r="C11" t="s">
        <v>45</v>
      </c>
      <c r="D11" s="8">
        <f>IF(D9=0,"NA",D10/D9)</f>
        <v>1</v>
      </c>
      <c r="E11" s="8">
        <f>IF(E9=0,"NA",E10/E9)</f>
        <v>1</v>
      </c>
      <c r="F11" s="1"/>
    </row>
    <row r="12" spans="1:56" x14ac:dyDescent="0.2">
      <c r="B12" s="9"/>
      <c r="D12" s="1"/>
      <c r="E12" s="1"/>
      <c r="F12" s="1"/>
    </row>
    <row r="13" spans="1:56" x14ac:dyDescent="0.2">
      <c r="B13" s="9"/>
      <c r="C13" t="s">
        <v>88</v>
      </c>
      <c r="D13" s="7">
        <v>0</v>
      </c>
      <c r="E13" s="7">
        <v>4</v>
      </c>
      <c r="F13" s="1"/>
    </row>
    <row r="14" spans="1:56" x14ac:dyDescent="0.2">
      <c r="B14" s="9"/>
      <c r="C14" t="s">
        <v>89</v>
      </c>
      <c r="D14" s="7">
        <v>0</v>
      </c>
      <c r="E14" s="7">
        <v>4</v>
      </c>
      <c r="F14" s="1"/>
    </row>
    <row r="15" spans="1:56" x14ac:dyDescent="0.2">
      <c r="B15" s="9"/>
      <c r="C15" t="s">
        <v>46</v>
      </c>
      <c r="D15" s="8" t="str">
        <f>IF(D13=0,"NA",D14/D13)</f>
        <v>NA</v>
      </c>
      <c r="E15" s="8">
        <f>IF(E13=0,"NA",E14/E13)</f>
        <v>1</v>
      </c>
      <c r="F15" s="1"/>
    </row>
    <row r="16" spans="1:56" x14ac:dyDescent="0.2">
      <c r="B16" s="9"/>
      <c r="D16" s="1"/>
      <c r="E16" s="1"/>
      <c r="F16" s="1"/>
    </row>
    <row r="17" spans="2:6" x14ac:dyDescent="0.2">
      <c r="B17" s="9"/>
      <c r="C17" t="s">
        <v>90</v>
      </c>
      <c r="D17" s="7">
        <v>4</v>
      </c>
      <c r="E17" s="7">
        <v>4</v>
      </c>
      <c r="F17" s="1"/>
    </row>
    <row r="18" spans="2:6" x14ac:dyDescent="0.2">
      <c r="B18" s="9"/>
      <c r="C18" t="s">
        <v>91</v>
      </c>
      <c r="D18" s="7">
        <v>4</v>
      </c>
      <c r="E18" s="7">
        <v>4</v>
      </c>
      <c r="F18" s="1"/>
    </row>
    <row r="19" spans="2:6" x14ac:dyDescent="0.2">
      <c r="B19" s="9"/>
      <c r="C19" t="s">
        <v>48</v>
      </c>
      <c r="D19" s="8">
        <f>IF(D17=0,"NA",D18/D17)</f>
        <v>1</v>
      </c>
      <c r="E19" s="8">
        <f>IF(E17=0,"NA",E18/E17)</f>
        <v>1</v>
      </c>
      <c r="F19" s="1"/>
    </row>
    <row r="20" spans="2:6" x14ac:dyDescent="0.2">
      <c r="B20" s="9"/>
      <c r="D20" s="1"/>
      <c r="E20" s="1"/>
      <c r="F20" s="1"/>
    </row>
    <row r="21" spans="2:6" x14ac:dyDescent="0.2">
      <c r="B21" s="9" t="s">
        <v>38</v>
      </c>
      <c r="D21" s="1"/>
      <c r="E21" s="1"/>
      <c r="F21" s="1"/>
    </row>
    <row r="22" spans="2:6" x14ac:dyDescent="0.2">
      <c r="C22" t="s">
        <v>86</v>
      </c>
      <c r="D22" s="1"/>
      <c r="E22" s="1"/>
      <c r="F22" s="7"/>
    </row>
    <row r="23" spans="2:6" x14ac:dyDescent="0.2">
      <c r="C23" t="s">
        <v>87</v>
      </c>
      <c r="D23" s="1"/>
      <c r="E23" s="1"/>
      <c r="F23" s="7"/>
    </row>
    <row r="24" spans="2:6" x14ac:dyDescent="0.2">
      <c r="C24" t="s">
        <v>45</v>
      </c>
      <c r="D24" s="1"/>
      <c r="E24" s="1"/>
      <c r="F24" s="8" t="str">
        <f>IF(F22=0,"NA",F23/F22)</f>
        <v>NA</v>
      </c>
    </row>
    <row r="25" spans="2:6" x14ac:dyDescent="0.2">
      <c r="D25" s="1"/>
      <c r="E25" s="1"/>
      <c r="F25" s="1"/>
    </row>
    <row r="26" spans="2:6" x14ac:dyDescent="0.2">
      <c r="C26" t="s">
        <v>90</v>
      </c>
      <c r="D26" s="1"/>
      <c r="E26" s="1"/>
      <c r="F26" s="7"/>
    </row>
    <row r="27" spans="2:6" x14ac:dyDescent="0.2">
      <c r="C27" t="s">
        <v>92</v>
      </c>
      <c r="D27" s="1"/>
      <c r="E27" s="1"/>
      <c r="F27" s="7"/>
    </row>
    <row r="28" spans="2:6" x14ac:dyDescent="0.2">
      <c r="C28" t="s">
        <v>48</v>
      </c>
      <c r="D28" s="1"/>
      <c r="E28" s="1"/>
      <c r="F28" s="8" t="str">
        <f>IF(F26=0,"NA",F27/F26)</f>
        <v>NA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54"/>
  <sheetViews>
    <sheetView topLeftCell="A9" workbookViewId="0">
      <selection activeCell="D41" sqref="D41"/>
    </sheetView>
  </sheetViews>
  <sheetFormatPr baseColWidth="10" defaultColWidth="8.83203125" defaultRowHeight="15" x14ac:dyDescent="0.2"/>
  <cols>
    <col min="1" max="1" width="14.1640625" customWidth="1"/>
    <col min="2" max="2" width="22" customWidth="1"/>
    <col min="3" max="3" width="54.33203125" bestFit="1" customWidth="1"/>
    <col min="4" max="7" width="9.33203125" bestFit="1" customWidth="1"/>
    <col min="8" max="11" width="9.83203125" bestFit="1" customWidth="1"/>
    <col min="12" max="16" width="9.6640625" bestFit="1" customWidth="1"/>
    <col min="17" max="20" width="9.33203125" bestFit="1" customWidth="1"/>
    <col min="21" max="24" width="9.6640625" bestFit="1" customWidth="1"/>
    <col min="25" max="29" width="9.83203125" bestFit="1" customWidth="1"/>
    <col min="30" max="33" width="9.33203125" bestFit="1" customWidth="1"/>
    <col min="34" max="37" width="10" bestFit="1" customWidth="1"/>
    <col min="38" max="42" width="9.33203125" bestFit="1" customWidth="1"/>
    <col min="43" max="46" width="8.83203125" bestFit="1" customWidth="1"/>
    <col min="47" max="55" width="9.6640625" bestFit="1" customWidth="1"/>
    <col min="56" max="56" width="9.33203125" bestFit="1" customWidth="1"/>
    <col min="58" max="58" width="57.33203125" bestFit="1" customWidth="1"/>
  </cols>
  <sheetData>
    <row r="1" spans="1:62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</row>
    <row r="2" spans="1:62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</row>
    <row r="3" spans="1:62" x14ac:dyDescent="0.2">
      <c r="A3" s="16" t="s">
        <v>1</v>
      </c>
      <c r="B3" s="18">
        <v>45931</v>
      </c>
      <c r="C3" s="16" t="s">
        <v>2</v>
      </c>
      <c r="D3" s="18">
        <v>45936</v>
      </c>
      <c r="E3" s="18">
        <f t="shared" ref="E3:AJ3" si="0">D3+7</f>
        <v>45943</v>
      </c>
      <c r="F3" s="18">
        <f t="shared" si="0"/>
        <v>45950</v>
      </c>
      <c r="G3" s="18">
        <f t="shared" si="0"/>
        <v>45957</v>
      </c>
      <c r="H3" s="18">
        <f t="shared" si="0"/>
        <v>45964</v>
      </c>
      <c r="I3" s="18">
        <f t="shared" si="0"/>
        <v>45971</v>
      </c>
      <c r="J3" s="18">
        <f t="shared" si="0"/>
        <v>45978</v>
      </c>
      <c r="K3" s="18">
        <f t="shared" si="0"/>
        <v>45985</v>
      </c>
      <c r="L3" s="18">
        <f t="shared" si="0"/>
        <v>45992</v>
      </c>
      <c r="M3" s="18">
        <f t="shared" si="0"/>
        <v>45999</v>
      </c>
      <c r="N3" s="18">
        <f t="shared" si="0"/>
        <v>46006</v>
      </c>
      <c r="O3" s="18">
        <f t="shared" si="0"/>
        <v>46013</v>
      </c>
      <c r="P3" s="18">
        <f t="shared" si="0"/>
        <v>46020</v>
      </c>
      <c r="Q3" s="18">
        <f t="shared" si="0"/>
        <v>46027</v>
      </c>
      <c r="R3" s="18">
        <f t="shared" si="0"/>
        <v>46034</v>
      </c>
      <c r="S3" s="18">
        <f t="shared" si="0"/>
        <v>46041</v>
      </c>
      <c r="T3" s="18">
        <f t="shared" si="0"/>
        <v>46048</v>
      </c>
      <c r="U3" s="18">
        <f t="shared" si="0"/>
        <v>46055</v>
      </c>
      <c r="V3" s="18">
        <f t="shared" si="0"/>
        <v>46062</v>
      </c>
      <c r="W3" s="18">
        <f t="shared" si="0"/>
        <v>46069</v>
      </c>
      <c r="X3" s="18">
        <f t="shared" si="0"/>
        <v>46076</v>
      </c>
      <c r="Y3" s="18">
        <f t="shared" si="0"/>
        <v>46083</v>
      </c>
      <c r="Z3" s="18">
        <f t="shared" si="0"/>
        <v>46090</v>
      </c>
      <c r="AA3" s="18">
        <f t="shared" si="0"/>
        <v>46097</v>
      </c>
      <c r="AB3" s="18">
        <f t="shared" si="0"/>
        <v>46104</v>
      </c>
      <c r="AC3" s="18">
        <f t="shared" si="0"/>
        <v>46111</v>
      </c>
      <c r="AD3" s="18">
        <f t="shared" si="0"/>
        <v>46118</v>
      </c>
      <c r="AE3" s="18">
        <f t="shared" si="0"/>
        <v>46125</v>
      </c>
      <c r="AF3" s="18">
        <f t="shared" si="0"/>
        <v>46132</v>
      </c>
      <c r="AG3" s="18">
        <f t="shared" si="0"/>
        <v>46139</v>
      </c>
      <c r="AH3" s="18">
        <f t="shared" si="0"/>
        <v>46146</v>
      </c>
      <c r="AI3" s="18">
        <f t="shared" si="0"/>
        <v>46153</v>
      </c>
      <c r="AJ3" s="18">
        <f t="shared" si="0"/>
        <v>46160</v>
      </c>
      <c r="AK3" s="18">
        <f t="shared" ref="AK3:BC3" si="1">AJ3+7</f>
        <v>46167</v>
      </c>
      <c r="AL3" s="18">
        <f t="shared" si="1"/>
        <v>46174</v>
      </c>
      <c r="AM3" s="18">
        <f t="shared" si="1"/>
        <v>46181</v>
      </c>
      <c r="AN3" s="18">
        <f t="shared" si="1"/>
        <v>46188</v>
      </c>
      <c r="AO3" s="18">
        <f t="shared" si="1"/>
        <v>46195</v>
      </c>
      <c r="AP3" s="18">
        <f t="shared" si="1"/>
        <v>46202</v>
      </c>
      <c r="AQ3" s="18">
        <f t="shared" si="1"/>
        <v>46209</v>
      </c>
      <c r="AR3" s="18">
        <f t="shared" si="1"/>
        <v>46216</v>
      </c>
      <c r="AS3" s="18">
        <f t="shared" si="1"/>
        <v>46223</v>
      </c>
      <c r="AT3" s="18">
        <f t="shared" si="1"/>
        <v>46230</v>
      </c>
      <c r="AU3" s="18">
        <f t="shared" si="1"/>
        <v>46237</v>
      </c>
      <c r="AV3" s="18">
        <f t="shared" si="1"/>
        <v>46244</v>
      </c>
      <c r="AW3" s="18">
        <f t="shared" si="1"/>
        <v>46251</v>
      </c>
      <c r="AX3" s="18">
        <f t="shared" si="1"/>
        <v>46258</v>
      </c>
      <c r="AY3" s="18">
        <f t="shared" si="1"/>
        <v>46265</v>
      </c>
      <c r="AZ3" s="18">
        <f t="shared" si="1"/>
        <v>46272</v>
      </c>
      <c r="BA3" s="18">
        <f t="shared" si="1"/>
        <v>46279</v>
      </c>
      <c r="BB3" s="18">
        <f t="shared" si="1"/>
        <v>46286</v>
      </c>
      <c r="BC3" s="18">
        <f t="shared" si="1"/>
        <v>46293</v>
      </c>
      <c r="BD3" s="18">
        <v>46295</v>
      </c>
      <c r="BE3" s="9"/>
      <c r="BF3" s="9"/>
      <c r="BG3" s="10" t="s">
        <v>3</v>
      </c>
      <c r="BH3" s="10" t="s">
        <v>4</v>
      </c>
      <c r="BI3" s="10" t="s">
        <v>5</v>
      </c>
      <c r="BJ3" s="10" t="s">
        <v>6</v>
      </c>
    </row>
    <row r="4" spans="1:62" x14ac:dyDescent="0.2">
      <c r="B4" s="1"/>
      <c r="C4" s="6" t="s">
        <v>93</v>
      </c>
      <c r="D4" s="3">
        <f>D3-B3+1</f>
        <v>6</v>
      </c>
      <c r="E4" s="3">
        <f t="shared" ref="E4:AJ4" si="2">E3-D3</f>
        <v>7</v>
      </c>
      <c r="F4" s="3">
        <f t="shared" si="2"/>
        <v>7</v>
      </c>
      <c r="G4" s="3">
        <f t="shared" si="2"/>
        <v>7</v>
      </c>
      <c r="H4" s="3">
        <f t="shared" si="2"/>
        <v>7</v>
      </c>
      <c r="I4" s="3">
        <f t="shared" si="2"/>
        <v>7</v>
      </c>
      <c r="J4" s="3">
        <f t="shared" si="2"/>
        <v>7</v>
      </c>
      <c r="K4" s="3">
        <f t="shared" si="2"/>
        <v>7</v>
      </c>
      <c r="L4" s="3">
        <f t="shared" si="2"/>
        <v>7</v>
      </c>
      <c r="M4" s="3">
        <f t="shared" si="2"/>
        <v>7</v>
      </c>
      <c r="N4" s="3">
        <f t="shared" si="2"/>
        <v>7</v>
      </c>
      <c r="O4" s="3">
        <f t="shared" si="2"/>
        <v>7</v>
      </c>
      <c r="P4" s="3">
        <f t="shared" si="2"/>
        <v>7</v>
      </c>
      <c r="Q4" s="3">
        <f t="shared" si="2"/>
        <v>7</v>
      </c>
      <c r="R4" s="3">
        <f t="shared" si="2"/>
        <v>7</v>
      </c>
      <c r="S4" s="3">
        <f t="shared" si="2"/>
        <v>7</v>
      </c>
      <c r="T4" s="3">
        <f t="shared" si="2"/>
        <v>7</v>
      </c>
      <c r="U4" s="3">
        <f t="shared" si="2"/>
        <v>7</v>
      </c>
      <c r="V4" s="3">
        <f t="shared" si="2"/>
        <v>7</v>
      </c>
      <c r="W4" s="3">
        <f t="shared" si="2"/>
        <v>7</v>
      </c>
      <c r="X4" s="3">
        <f t="shared" si="2"/>
        <v>7</v>
      </c>
      <c r="Y4" s="3">
        <f t="shared" si="2"/>
        <v>7</v>
      </c>
      <c r="Z4" s="3">
        <f t="shared" si="2"/>
        <v>7</v>
      </c>
      <c r="AA4" s="3">
        <f t="shared" si="2"/>
        <v>7</v>
      </c>
      <c r="AB4" s="3">
        <f t="shared" si="2"/>
        <v>7</v>
      </c>
      <c r="AC4" s="3">
        <f t="shared" si="2"/>
        <v>7</v>
      </c>
      <c r="AD4" s="3">
        <f t="shared" si="2"/>
        <v>7</v>
      </c>
      <c r="AE4" s="3">
        <f t="shared" si="2"/>
        <v>7</v>
      </c>
      <c r="AF4" s="3">
        <f t="shared" si="2"/>
        <v>7</v>
      </c>
      <c r="AG4" s="3">
        <f t="shared" si="2"/>
        <v>7</v>
      </c>
      <c r="AH4" s="3">
        <f t="shared" si="2"/>
        <v>7</v>
      </c>
      <c r="AI4" s="3">
        <f t="shared" si="2"/>
        <v>7</v>
      </c>
      <c r="AJ4" s="3">
        <f t="shared" si="2"/>
        <v>7</v>
      </c>
      <c r="AK4" s="3">
        <f t="shared" ref="AK4:BP4" si="3">AK3-AJ3</f>
        <v>7</v>
      </c>
      <c r="AL4" s="3">
        <f t="shared" si="3"/>
        <v>7</v>
      </c>
      <c r="AM4" s="3">
        <f t="shared" si="3"/>
        <v>7</v>
      </c>
      <c r="AN4" s="3">
        <f t="shared" si="3"/>
        <v>7</v>
      </c>
      <c r="AO4" s="3">
        <f t="shared" si="3"/>
        <v>7</v>
      </c>
      <c r="AP4" s="3">
        <f t="shared" si="3"/>
        <v>7</v>
      </c>
      <c r="AQ4" s="3">
        <f t="shared" si="3"/>
        <v>7</v>
      </c>
      <c r="AR4" s="3">
        <f t="shared" si="3"/>
        <v>7</v>
      </c>
      <c r="AS4" s="3">
        <f t="shared" si="3"/>
        <v>7</v>
      </c>
      <c r="AT4" s="3">
        <f t="shared" si="3"/>
        <v>7</v>
      </c>
      <c r="AU4" s="3">
        <f t="shared" si="3"/>
        <v>7</v>
      </c>
      <c r="AV4" s="3">
        <f t="shared" si="3"/>
        <v>7</v>
      </c>
      <c r="AW4" s="3">
        <f t="shared" si="3"/>
        <v>7</v>
      </c>
      <c r="AX4" s="3">
        <f t="shared" si="3"/>
        <v>7</v>
      </c>
      <c r="AY4" s="3">
        <f t="shared" si="3"/>
        <v>7</v>
      </c>
      <c r="AZ4" s="3">
        <f t="shared" si="3"/>
        <v>7</v>
      </c>
      <c r="BA4" s="3">
        <f t="shared" si="3"/>
        <v>7</v>
      </c>
      <c r="BB4" s="3">
        <f t="shared" si="3"/>
        <v>7</v>
      </c>
      <c r="BC4" s="3">
        <f t="shared" si="3"/>
        <v>7</v>
      </c>
      <c r="BD4" s="3">
        <f t="shared" si="3"/>
        <v>2</v>
      </c>
    </row>
    <row r="5" spans="1:62" x14ac:dyDescent="0.2">
      <c r="B5" s="1"/>
      <c r="C5" s="6" t="s">
        <v>94</v>
      </c>
      <c r="D5" s="3">
        <f>D4</f>
        <v>6</v>
      </c>
      <c r="E5" s="3">
        <f t="shared" ref="E5:AJ5" si="4">E4+D5</f>
        <v>13</v>
      </c>
      <c r="F5" s="3">
        <f t="shared" si="4"/>
        <v>20</v>
      </c>
      <c r="G5" s="3">
        <f t="shared" si="4"/>
        <v>27</v>
      </c>
      <c r="H5" s="3">
        <f t="shared" si="4"/>
        <v>34</v>
      </c>
      <c r="I5" s="3">
        <f t="shared" si="4"/>
        <v>41</v>
      </c>
      <c r="J5" s="3">
        <f t="shared" si="4"/>
        <v>48</v>
      </c>
      <c r="K5" s="3">
        <f t="shared" si="4"/>
        <v>55</v>
      </c>
      <c r="L5" s="3">
        <f t="shared" si="4"/>
        <v>62</v>
      </c>
      <c r="M5" s="3">
        <f t="shared" si="4"/>
        <v>69</v>
      </c>
      <c r="N5" s="3">
        <f t="shared" si="4"/>
        <v>76</v>
      </c>
      <c r="O5" s="3">
        <f t="shared" si="4"/>
        <v>83</v>
      </c>
      <c r="P5" s="3">
        <f t="shared" si="4"/>
        <v>90</v>
      </c>
      <c r="Q5" s="3">
        <f t="shared" si="4"/>
        <v>97</v>
      </c>
      <c r="R5" s="3">
        <f t="shared" si="4"/>
        <v>104</v>
      </c>
      <c r="S5" s="3">
        <f t="shared" si="4"/>
        <v>111</v>
      </c>
      <c r="T5" s="3">
        <f t="shared" si="4"/>
        <v>118</v>
      </c>
      <c r="U5" s="3">
        <f t="shared" si="4"/>
        <v>125</v>
      </c>
      <c r="V5" s="3">
        <f t="shared" si="4"/>
        <v>132</v>
      </c>
      <c r="W5" s="3">
        <f t="shared" si="4"/>
        <v>139</v>
      </c>
      <c r="X5" s="3">
        <f t="shared" si="4"/>
        <v>146</v>
      </c>
      <c r="Y5" s="3">
        <f t="shared" si="4"/>
        <v>153</v>
      </c>
      <c r="Z5" s="3">
        <f t="shared" si="4"/>
        <v>160</v>
      </c>
      <c r="AA5" s="3">
        <f t="shared" si="4"/>
        <v>167</v>
      </c>
      <c r="AB5" s="3">
        <f t="shared" si="4"/>
        <v>174</v>
      </c>
      <c r="AC5" s="3">
        <f t="shared" si="4"/>
        <v>181</v>
      </c>
      <c r="AD5" s="3">
        <f t="shared" si="4"/>
        <v>188</v>
      </c>
      <c r="AE5" s="3">
        <f t="shared" si="4"/>
        <v>195</v>
      </c>
      <c r="AF5" s="3">
        <f t="shared" si="4"/>
        <v>202</v>
      </c>
      <c r="AG5" s="3">
        <f t="shared" si="4"/>
        <v>209</v>
      </c>
      <c r="AH5" s="3">
        <f t="shared" si="4"/>
        <v>216</v>
      </c>
      <c r="AI5" s="3">
        <f t="shared" si="4"/>
        <v>223</v>
      </c>
      <c r="AJ5" s="3">
        <f t="shared" si="4"/>
        <v>230</v>
      </c>
      <c r="AK5" s="3">
        <f t="shared" ref="AK5:BP5" si="5">AK4+AJ5</f>
        <v>237</v>
      </c>
      <c r="AL5" s="3">
        <f t="shared" si="5"/>
        <v>244</v>
      </c>
      <c r="AM5" s="3">
        <f t="shared" si="5"/>
        <v>251</v>
      </c>
      <c r="AN5" s="3">
        <f t="shared" si="5"/>
        <v>258</v>
      </c>
      <c r="AO5" s="3">
        <f t="shared" si="5"/>
        <v>265</v>
      </c>
      <c r="AP5" s="3">
        <f t="shared" si="5"/>
        <v>272</v>
      </c>
      <c r="AQ5" s="3">
        <f t="shared" si="5"/>
        <v>279</v>
      </c>
      <c r="AR5" s="3">
        <f t="shared" si="5"/>
        <v>286</v>
      </c>
      <c r="AS5" s="3">
        <f t="shared" si="5"/>
        <v>293</v>
      </c>
      <c r="AT5" s="3">
        <f t="shared" si="5"/>
        <v>300</v>
      </c>
      <c r="AU5" s="3">
        <f t="shared" si="5"/>
        <v>307</v>
      </c>
      <c r="AV5" s="3">
        <f t="shared" si="5"/>
        <v>314</v>
      </c>
      <c r="AW5" s="3">
        <f t="shared" si="5"/>
        <v>321</v>
      </c>
      <c r="AX5" s="3">
        <f t="shared" si="5"/>
        <v>328</v>
      </c>
      <c r="AY5" s="3">
        <f t="shared" si="5"/>
        <v>335</v>
      </c>
      <c r="AZ5" s="3">
        <f t="shared" si="5"/>
        <v>342</v>
      </c>
      <c r="BA5" s="3">
        <f t="shared" si="5"/>
        <v>349</v>
      </c>
      <c r="BB5" s="3">
        <f t="shared" si="5"/>
        <v>356</v>
      </c>
      <c r="BC5" s="3">
        <f t="shared" si="5"/>
        <v>363</v>
      </c>
      <c r="BD5" s="3">
        <f t="shared" si="5"/>
        <v>365</v>
      </c>
    </row>
    <row r="6" spans="1:62" x14ac:dyDescent="0.2">
      <c r="B6" s="1"/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 spans="1:62" x14ac:dyDescent="0.2">
      <c r="B7" s="10" t="s">
        <v>7</v>
      </c>
      <c r="C7" s="10" t="s">
        <v>8</v>
      </c>
    </row>
    <row r="9" spans="1:62" x14ac:dyDescent="0.2">
      <c r="B9" s="9" t="s">
        <v>9</v>
      </c>
    </row>
    <row r="10" spans="1:62" x14ac:dyDescent="0.2">
      <c r="B10" s="9"/>
      <c r="C10" t="s">
        <v>95</v>
      </c>
      <c r="D10" s="19">
        <v>1</v>
      </c>
      <c r="E10" s="19">
        <v>1</v>
      </c>
      <c r="F10" s="19">
        <v>1</v>
      </c>
      <c r="G10" s="19">
        <v>1</v>
      </c>
      <c r="H10" s="19">
        <v>1</v>
      </c>
      <c r="I10" s="19">
        <v>1</v>
      </c>
      <c r="J10" s="19">
        <v>1</v>
      </c>
      <c r="K10" s="19">
        <v>0.95652173913043481</v>
      </c>
      <c r="L10" s="19">
        <v>0.95652173913043481</v>
      </c>
      <c r="M10" s="19">
        <v>0.95652173913043481</v>
      </c>
      <c r="N10" s="19">
        <v>0.95652173913043481</v>
      </c>
      <c r="O10" s="19">
        <v>0.95652173913043481</v>
      </c>
      <c r="P10" s="19">
        <v>0.95652173913043481</v>
      </c>
      <c r="Q10" s="19">
        <v>0.95652173913043481</v>
      </c>
      <c r="R10" s="19">
        <v>0.95652173913043481</v>
      </c>
      <c r="S10" s="19">
        <v>0.95652173913043481</v>
      </c>
      <c r="T10" s="19">
        <v>0.95652173913043481</v>
      </c>
      <c r="U10" s="19">
        <v>0.95652173913043481</v>
      </c>
      <c r="V10" s="19">
        <v>0.95652173913043481</v>
      </c>
      <c r="W10" s="19">
        <v>0.95652173913043481</v>
      </c>
      <c r="X10" s="19">
        <v>0.95652173913043481</v>
      </c>
      <c r="Y10" s="19">
        <v>0.86956521739130432</v>
      </c>
      <c r="Z10" s="19">
        <v>0.86956521739130432</v>
      </c>
      <c r="AA10" s="19">
        <v>0.86956521739130432</v>
      </c>
      <c r="AB10" s="19">
        <v>0.86956521739130432</v>
      </c>
      <c r="AC10" s="19">
        <v>0.86956521739130432</v>
      </c>
      <c r="AD10" s="19">
        <v>0.86956521739130432</v>
      </c>
      <c r="AE10" s="19">
        <v>0.86956521739130432</v>
      </c>
      <c r="AF10" s="19">
        <v>0.86956521739130432</v>
      </c>
      <c r="AG10" s="19">
        <v>0.86956521739130432</v>
      </c>
      <c r="AH10" s="19">
        <v>1</v>
      </c>
      <c r="AI10" s="19">
        <v>1</v>
      </c>
      <c r="AJ10" s="19">
        <v>1</v>
      </c>
      <c r="AK10" s="19">
        <v>1</v>
      </c>
      <c r="AL10" s="19">
        <v>1</v>
      </c>
      <c r="AM10" s="19">
        <v>1</v>
      </c>
      <c r="AN10" s="19">
        <v>1</v>
      </c>
      <c r="AO10" s="19">
        <v>1</v>
      </c>
      <c r="AP10" s="19">
        <v>1</v>
      </c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F10" t="s">
        <v>50</v>
      </c>
      <c r="BG10" s="4">
        <f>P10</f>
        <v>0.95652173913043481</v>
      </c>
      <c r="BH10" s="4">
        <f>AC10</f>
        <v>0.86956521739130432</v>
      </c>
      <c r="BI10" s="4">
        <f>AP10</f>
        <v>1</v>
      </c>
      <c r="BJ10" s="4">
        <f>BD10</f>
        <v>0</v>
      </c>
    </row>
    <row r="11" spans="1:62" x14ac:dyDescent="0.2">
      <c r="B11" s="9"/>
      <c r="C11" t="s">
        <v>96</v>
      </c>
      <c r="D11" s="1">
        <f t="shared" ref="D11:AI11" si="6">IF(D10&gt;=0.7,D$4,0)</f>
        <v>6</v>
      </c>
      <c r="E11" s="1">
        <f t="shared" si="6"/>
        <v>7</v>
      </c>
      <c r="F11" s="1">
        <f t="shared" si="6"/>
        <v>7</v>
      </c>
      <c r="G11" s="1">
        <f t="shared" si="6"/>
        <v>7</v>
      </c>
      <c r="H11" s="1">
        <f t="shared" si="6"/>
        <v>7</v>
      </c>
      <c r="I11" s="1">
        <f t="shared" si="6"/>
        <v>7</v>
      </c>
      <c r="J11" s="1">
        <f t="shared" si="6"/>
        <v>7</v>
      </c>
      <c r="K11" s="1">
        <f t="shared" si="6"/>
        <v>7</v>
      </c>
      <c r="L11" s="1">
        <f t="shared" si="6"/>
        <v>7</v>
      </c>
      <c r="M11" s="1">
        <f t="shared" si="6"/>
        <v>7</v>
      </c>
      <c r="N11" s="1">
        <f t="shared" si="6"/>
        <v>7</v>
      </c>
      <c r="O11" s="1">
        <f t="shared" si="6"/>
        <v>7</v>
      </c>
      <c r="P11" s="1">
        <f t="shared" si="6"/>
        <v>7</v>
      </c>
      <c r="Q11" s="1">
        <f t="shared" si="6"/>
        <v>7</v>
      </c>
      <c r="R11" s="1">
        <f t="shared" si="6"/>
        <v>7</v>
      </c>
      <c r="S11" s="1">
        <f t="shared" si="6"/>
        <v>7</v>
      </c>
      <c r="T11" s="1">
        <f t="shared" si="6"/>
        <v>7</v>
      </c>
      <c r="U11" s="1">
        <f t="shared" si="6"/>
        <v>7</v>
      </c>
      <c r="V11" s="1">
        <f t="shared" si="6"/>
        <v>7</v>
      </c>
      <c r="W11" s="1">
        <f t="shared" si="6"/>
        <v>7</v>
      </c>
      <c r="X11" s="1">
        <f t="shared" si="6"/>
        <v>7</v>
      </c>
      <c r="Y11" s="1">
        <f t="shared" si="6"/>
        <v>7</v>
      </c>
      <c r="Z11" s="1">
        <f t="shared" si="6"/>
        <v>7</v>
      </c>
      <c r="AA11" s="1">
        <f t="shared" si="6"/>
        <v>7</v>
      </c>
      <c r="AB11" s="1">
        <f t="shared" si="6"/>
        <v>7</v>
      </c>
      <c r="AC11" s="1">
        <f t="shared" si="6"/>
        <v>7</v>
      </c>
      <c r="AD11" s="1">
        <f t="shared" si="6"/>
        <v>7</v>
      </c>
      <c r="AE11" s="1">
        <f t="shared" si="6"/>
        <v>7</v>
      </c>
      <c r="AF11" s="1">
        <f t="shared" si="6"/>
        <v>7</v>
      </c>
      <c r="AG11" s="1">
        <f t="shared" si="6"/>
        <v>7</v>
      </c>
      <c r="AH11" s="1">
        <f t="shared" si="6"/>
        <v>7</v>
      </c>
      <c r="AI11" s="1">
        <f t="shared" si="6"/>
        <v>7</v>
      </c>
      <c r="AJ11" s="1">
        <f t="shared" ref="AJ11:BO11" si="7">IF(AJ10&gt;=0.7,AJ$4,0)</f>
        <v>7</v>
      </c>
      <c r="AK11" s="1">
        <f t="shared" si="7"/>
        <v>7</v>
      </c>
      <c r="AL11" s="1">
        <f t="shared" si="7"/>
        <v>7</v>
      </c>
      <c r="AM11" s="1">
        <f t="shared" si="7"/>
        <v>7</v>
      </c>
      <c r="AN11" s="1">
        <f t="shared" si="7"/>
        <v>7</v>
      </c>
      <c r="AO11" s="1">
        <f t="shared" si="7"/>
        <v>7</v>
      </c>
      <c r="AP11" s="1">
        <f t="shared" si="7"/>
        <v>7</v>
      </c>
      <c r="AQ11" s="1">
        <f t="shared" si="7"/>
        <v>0</v>
      </c>
      <c r="AR11" s="1">
        <f t="shared" si="7"/>
        <v>0</v>
      </c>
      <c r="AS11" s="1">
        <f t="shared" si="7"/>
        <v>0</v>
      </c>
      <c r="AT11" s="1">
        <f t="shared" si="7"/>
        <v>0</v>
      </c>
      <c r="AU11" s="1">
        <f t="shared" si="7"/>
        <v>0</v>
      </c>
      <c r="AV11" s="1">
        <f t="shared" si="7"/>
        <v>0</v>
      </c>
      <c r="AW11" s="1">
        <f t="shared" si="7"/>
        <v>0</v>
      </c>
      <c r="AX11" s="1">
        <f t="shared" si="7"/>
        <v>0</v>
      </c>
      <c r="AY11" s="1">
        <f t="shared" si="7"/>
        <v>0</v>
      </c>
      <c r="AZ11" s="1">
        <f t="shared" si="7"/>
        <v>0</v>
      </c>
      <c r="BA11" s="1">
        <f t="shared" si="7"/>
        <v>0</v>
      </c>
      <c r="BB11" s="1">
        <f t="shared" si="7"/>
        <v>0</v>
      </c>
      <c r="BC11" s="1">
        <f t="shared" si="7"/>
        <v>0</v>
      </c>
      <c r="BD11" s="1">
        <f t="shared" si="7"/>
        <v>0</v>
      </c>
      <c r="BF11" t="s">
        <v>52</v>
      </c>
      <c r="BG11" s="4">
        <f>IF(BG10="NA","NA",SUM(D11:P11)/SUM($D$4:$P$4))</f>
        <v>1</v>
      </c>
      <c r="BH11" s="4">
        <f>IF(BH10="NA","NA",SUM(R11:AC11)/SUM($R$4:$AC$4))</f>
        <v>1</v>
      </c>
      <c r="BI11" s="4">
        <f>IF(BI10="NA","NA",SUM(AD11:AP11)/SUM($AD$4:$AP$4))</f>
        <v>1</v>
      </c>
      <c r="BJ11" s="4">
        <f>IF(BJ10="NA","NA",SUM(AQ11:BD11)/SUM($AQ$4:$BD$4))</f>
        <v>0</v>
      </c>
    </row>
    <row r="12" spans="1:62" x14ac:dyDescent="0.2">
      <c r="B12" s="9"/>
      <c r="BG12" s="4"/>
    </row>
    <row r="13" spans="1:62" x14ac:dyDescent="0.2">
      <c r="B13" s="9"/>
      <c r="C13" t="s">
        <v>97</v>
      </c>
      <c r="D13" s="19">
        <v>1</v>
      </c>
      <c r="E13" s="19">
        <v>1</v>
      </c>
      <c r="F13" s="19">
        <v>1</v>
      </c>
      <c r="G13" s="19">
        <v>1</v>
      </c>
      <c r="H13" s="19">
        <v>1</v>
      </c>
      <c r="I13" s="19">
        <v>1</v>
      </c>
      <c r="J13" s="19">
        <v>0.8571428571428571</v>
      </c>
      <c r="K13" s="19">
        <v>1</v>
      </c>
      <c r="L13" s="19">
        <v>1</v>
      </c>
      <c r="M13" s="19">
        <v>1</v>
      </c>
      <c r="N13" s="19">
        <v>1</v>
      </c>
      <c r="O13" s="19">
        <v>1</v>
      </c>
      <c r="P13" s="19">
        <v>1</v>
      </c>
      <c r="Q13" s="19">
        <v>1</v>
      </c>
      <c r="R13" s="19">
        <v>1</v>
      </c>
      <c r="S13" s="19">
        <v>1</v>
      </c>
      <c r="T13" s="19">
        <v>1</v>
      </c>
      <c r="U13" s="19">
        <v>1</v>
      </c>
      <c r="V13" s="19">
        <v>1</v>
      </c>
      <c r="W13" s="19">
        <v>1</v>
      </c>
      <c r="X13" s="19">
        <v>1</v>
      </c>
      <c r="Y13" s="19">
        <v>1</v>
      </c>
      <c r="Z13" s="19">
        <v>1</v>
      </c>
      <c r="AA13" s="19">
        <v>1</v>
      </c>
      <c r="AB13" s="19">
        <v>1</v>
      </c>
      <c r="AC13" s="19">
        <v>1</v>
      </c>
      <c r="AD13" s="19">
        <v>1</v>
      </c>
      <c r="AE13" s="19">
        <v>1</v>
      </c>
      <c r="AF13" s="19">
        <v>1</v>
      </c>
      <c r="AG13" s="19">
        <v>1</v>
      </c>
      <c r="AH13" s="19">
        <v>1</v>
      </c>
      <c r="AI13" s="19">
        <v>1</v>
      </c>
      <c r="AJ13" s="19">
        <v>1</v>
      </c>
      <c r="AK13" s="19">
        <v>1</v>
      </c>
      <c r="AL13" s="19">
        <v>1</v>
      </c>
      <c r="AM13" s="19">
        <v>1</v>
      </c>
      <c r="AN13" s="19">
        <v>1</v>
      </c>
      <c r="AO13" s="19">
        <v>1</v>
      </c>
      <c r="AP13" s="19">
        <v>1</v>
      </c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F13" t="s">
        <v>53</v>
      </c>
      <c r="BG13" s="4">
        <f>P13</f>
        <v>1</v>
      </c>
      <c r="BH13" s="4">
        <f>AC13</f>
        <v>1</v>
      </c>
      <c r="BI13" s="4">
        <f>AP13</f>
        <v>1</v>
      </c>
      <c r="BJ13" s="4">
        <f>BD13</f>
        <v>0</v>
      </c>
    </row>
    <row r="14" spans="1:62" x14ac:dyDescent="0.2">
      <c r="B14" s="9"/>
      <c r="C14" t="s">
        <v>98</v>
      </c>
      <c r="D14" s="1">
        <f t="shared" ref="D14:AI14" si="8">IF(D13&gt;=0.7,D$4,0)</f>
        <v>6</v>
      </c>
      <c r="E14" s="1">
        <f t="shared" si="8"/>
        <v>7</v>
      </c>
      <c r="F14" s="1">
        <f t="shared" si="8"/>
        <v>7</v>
      </c>
      <c r="G14" s="1">
        <f t="shared" si="8"/>
        <v>7</v>
      </c>
      <c r="H14" s="1">
        <f t="shared" si="8"/>
        <v>7</v>
      </c>
      <c r="I14" s="1">
        <f t="shared" si="8"/>
        <v>7</v>
      </c>
      <c r="J14" s="1">
        <f t="shared" si="8"/>
        <v>7</v>
      </c>
      <c r="K14" s="1">
        <f t="shared" si="8"/>
        <v>7</v>
      </c>
      <c r="L14" s="1">
        <f t="shared" si="8"/>
        <v>7</v>
      </c>
      <c r="M14" s="1">
        <f t="shared" si="8"/>
        <v>7</v>
      </c>
      <c r="N14" s="1">
        <f t="shared" si="8"/>
        <v>7</v>
      </c>
      <c r="O14" s="1">
        <f t="shared" si="8"/>
        <v>7</v>
      </c>
      <c r="P14" s="1">
        <f t="shared" si="8"/>
        <v>7</v>
      </c>
      <c r="Q14" s="1">
        <f t="shared" si="8"/>
        <v>7</v>
      </c>
      <c r="R14" s="1">
        <f t="shared" si="8"/>
        <v>7</v>
      </c>
      <c r="S14" s="1">
        <f t="shared" si="8"/>
        <v>7</v>
      </c>
      <c r="T14" s="1">
        <f t="shared" si="8"/>
        <v>7</v>
      </c>
      <c r="U14" s="1">
        <f t="shared" si="8"/>
        <v>7</v>
      </c>
      <c r="V14" s="1">
        <f t="shared" si="8"/>
        <v>7</v>
      </c>
      <c r="W14" s="1">
        <f t="shared" si="8"/>
        <v>7</v>
      </c>
      <c r="X14" s="1">
        <f t="shared" si="8"/>
        <v>7</v>
      </c>
      <c r="Y14" s="1">
        <f t="shared" si="8"/>
        <v>7</v>
      </c>
      <c r="Z14" s="1">
        <f t="shared" si="8"/>
        <v>7</v>
      </c>
      <c r="AA14" s="1">
        <f t="shared" si="8"/>
        <v>7</v>
      </c>
      <c r="AB14" s="1">
        <f t="shared" si="8"/>
        <v>7</v>
      </c>
      <c r="AC14" s="1">
        <f t="shared" si="8"/>
        <v>7</v>
      </c>
      <c r="AD14" s="1">
        <f t="shared" si="8"/>
        <v>7</v>
      </c>
      <c r="AE14" s="1">
        <f t="shared" si="8"/>
        <v>7</v>
      </c>
      <c r="AF14" s="1">
        <f t="shared" si="8"/>
        <v>7</v>
      </c>
      <c r="AG14" s="1">
        <f t="shared" si="8"/>
        <v>7</v>
      </c>
      <c r="AH14" s="1">
        <f t="shared" si="8"/>
        <v>7</v>
      </c>
      <c r="AI14" s="1">
        <f t="shared" si="8"/>
        <v>7</v>
      </c>
      <c r="AJ14" s="1">
        <f t="shared" ref="AJ14:BO14" si="9">IF(AJ13&gt;=0.7,AJ$4,0)</f>
        <v>7</v>
      </c>
      <c r="AK14" s="1">
        <f t="shared" si="9"/>
        <v>7</v>
      </c>
      <c r="AL14" s="1">
        <f t="shared" si="9"/>
        <v>7</v>
      </c>
      <c r="AM14" s="1">
        <f t="shared" si="9"/>
        <v>7</v>
      </c>
      <c r="AN14" s="1">
        <f t="shared" si="9"/>
        <v>7</v>
      </c>
      <c r="AO14" s="1">
        <f t="shared" si="9"/>
        <v>7</v>
      </c>
      <c r="AP14" s="1">
        <f t="shared" si="9"/>
        <v>7</v>
      </c>
      <c r="AQ14" s="1">
        <f t="shared" si="9"/>
        <v>0</v>
      </c>
      <c r="AR14" s="1">
        <f t="shared" si="9"/>
        <v>0</v>
      </c>
      <c r="AS14" s="1">
        <f t="shared" si="9"/>
        <v>0</v>
      </c>
      <c r="AT14" s="1">
        <f t="shared" si="9"/>
        <v>0</v>
      </c>
      <c r="AU14" s="1">
        <f t="shared" si="9"/>
        <v>0</v>
      </c>
      <c r="AV14" s="1">
        <f t="shared" si="9"/>
        <v>0</v>
      </c>
      <c r="AW14" s="1">
        <f t="shared" si="9"/>
        <v>0</v>
      </c>
      <c r="AX14" s="1">
        <f t="shared" si="9"/>
        <v>0</v>
      </c>
      <c r="AY14" s="1">
        <f t="shared" si="9"/>
        <v>0</v>
      </c>
      <c r="AZ14" s="1">
        <f t="shared" si="9"/>
        <v>0</v>
      </c>
      <c r="BA14" s="1">
        <f t="shared" si="9"/>
        <v>0</v>
      </c>
      <c r="BB14" s="1">
        <f t="shared" si="9"/>
        <v>0</v>
      </c>
      <c r="BC14" s="1">
        <f t="shared" si="9"/>
        <v>0</v>
      </c>
      <c r="BD14" s="1">
        <f t="shared" si="9"/>
        <v>0</v>
      </c>
      <c r="BF14" t="s">
        <v>54</v>
      </c>
      <c r="BG14" s="4">
        <f>IF(BG13="NA","NA",SUM(D14:P14)/SUM($D$4:$P$4))</f>
        <v>1</v>
      </c>
      <c r="BH14" s="4">
        <f>IF(BH13="NA","NA",SUM(R14:AC14)/SUM($R$4:$AC$4))</f>
        <v>1</v>
      </c>
      <c r="BI14" s="4">
        <f>IF(BI13="NA","NA",SUM(AD14:AP14)/SUM($AD$4:$AP$4))</f>
        <v>1</v>
      </c>
      <c r="BJ14" s="4">
        <f>IF(BJ13="NA","NA",SUM(AQ14:BD14)/SUM($AQ$4:$BD$4))</f>
        <v>0</v>
      </c>
    </row>
    <row r="15" spans="1:62" x14ac:dyDescent="0.2">
      <c r="B15" s="9"/>
      <c r="BG15" s="4"/>
    </row>
    <row r="16" spans="1:62" x14ac:dyDescent="0.2">
      <c r="B16" s="9"/>
      <c r="C16" t="s">
        <v>99</v>
      </c>
      <c r="D16" s="19">
        <v>1</v>
      </c>
      <c r="E16" s="19">
        <v>1</v>
      </c>
      <c r="F16" s="19">
        <v>1</v>
      </c>
      <c r="G16" s="19">
        <v>1</v>
      </c>
      <c r="H16" s="19">
        <v>1</v>
      </c>
      <c r="I16" s="19">
        <v>1</v>
      </c>
      <c r="J16" s="19">
        <v>0.7857142857142857</v>
      </c>
      <c r="K16" s="19">
        <v>0.7857142857142857</v>
      </c>
      <c r="L16" s="19">
        <v>0.7857142857142857</v>
      </c>
      <c r="M16" s="19">
        <v>0.7857142857142857</v>
      </c>
      <c r="N16" s="19">
        <v>0.7857142857142857</v>
      </c>
      <c r="O16" s="19">
        <v>0.7857142857142857</v>
      </c>
      <c r="P16" s="19">
        <v>0.7857142857142857</v>
      </c>
      <c r="Q16" s="19">
        <v>0.7857142857142857</v>
      </c>
      <c r="R16" s="19">
        <v>0.7857142857142857</v>
      </c>
      <c r="S16" s="19">
        <v>0.7857142857142857</v>
      </c>
      <c r="T16" s="19">
        <v>0.7857142857142857</v>
      </c>
      <c r="U16" s="19">
        <v>0.7857142857142857</v>
      </c>
      <c r="V16" s="19">
        <v>0.7857142857142857</v>
      </c>
      <c r="W16" s="19">
        <v>0.7857142857142857</v>
      </c>
      <c r="X16" s="19">
        <v>0.7857142857142857</v>
      </c>
      <c r="Y16" s="19">
        <v>0.7857142857142857</v>
      </c>
      <c r="Z16" s="19">
        <v>0.7857142857142857</v>
      </c>
      <c r="AA16" s="19">
        <v>0.7857142857142857</v>
      </c>
      <c r="AB16" s="19">
        <v>0.7857142857142857</v>
      </c>
      <c r="AC16" s="19">
        <v>0.7857142857142857</v>
      </c>
      <c r="AD16" s="19">
        <v>0.7857142857142857</v>
      </c>
      <c r="AE16" s="19">
        <v>0.7857142857142857</v>
      </c>
      <c r="AF16" s="19">
        <v>0.7857142857142857</v>
      </c>
      <c r="AG16" s="19">
        <v>0.7857142857142857</v>
      </c>
      <c r="AH16" s="19">
        <v>1</v>
      </c>
      <c r="AI16" s="19">
        <v>1</v>
      </c>
      <c r="AJ16" s="19">
        <v>1</v>
      </c>
      <c r="AK16" s="19">
        <v>1</v>
      </c>
      <c r="AL16" s="19">
        <v>1</v>
      </c>
      <c r="AM16" s="19">
        <v>1</v>
      </c>
      <c r="AN16" s="19">
        <v>1</v>
      </c>
      <c r="AO16" s="19">
        <v>0.9285714285714286</v>
      </c>
      <c r="AP16" s="19">
        <v>0.9285714285714286</v>
      </c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F16" t="s">
        <v>55</v>
      </c>
      <c r="BG16" s="4">
        <f>P16</f>
        <v>0.7857142857142857</v>
      </c>
      <c r="BH16" s="4">
        <f>AC16</f>
        <v>0.7857142857142857</v>
      </c>
      <c r="BI16" s="4">
        <f>AP16</f>
        <v>0.9285714285714286</v>
      </c>
      <c r="BJ16" s="4">
        <f>BD16</f>
        <v>0</v>
      </c>
    </row>
    <row r="17" spans="2:62" x14ac:dyDescent="0.2">
      <c r="B17" s="9"/>
      <c r="C17" t="s">
        <v>100</v>
      </c>
      <c r="D17" s="1">
        <f t="shared" ref="D17:AI17" si="10">IF(D16&gt;=0.7,D$4,0)</f>
        <v>6</v>
      </c>
      <c r="E17" s="1">
        <f t="shared" si="10"/>
        <v>7</v>
      </c>
      <c r="F17" s="1">
        <f t="shared" si="10"/>
        <v>7</v>
      </c>
      <c r="G17" s="1">
        <f t="shared" si="10"/>
        <v>7</v>
      </c>
      <c r="H17" s="1">
        <f t="shared" si="10"/>
        <v>7</v>
      </c>
      <c r="I17" s="1">
        <f t="shared" si="10"/>
        <v>7</v>
      </c>
      <c r="J17" s="1">
        <f t="shared" si="10"/>
        <v>7</v>
      </c>
      <c r="K17" s="1">
        <f t="shared" si="10"/>
        <v>7</v>
      </c>
      <c r="L17" s="1">
        <f t="shared" si="10"/>
        <v>7</v>
      </c>
      <c r="M17" s="1">
        <f t="shared" si="10"/>
        <v>7</v>
      </c>
      <c r="N17" s="1">
        <f t="shared" si="10"/>
        <v>7</v>
      </c>
      <c r="O17" s="1">
        <f t="shared" si="10"/>
        <v>7</v>
      </c>
      <c r="P17" s="1">
        <f t="shared" si="10"/>
        <v>7</v>
      </c>
      <c r="Q17" s="1">
        <f t="shared" si="10"/>
        <v>7</v>
      </c>
      <c r="R17" s="1">
        <f t="shared" si="10"/>
        <v>7</v>
      </c>
      <c r="S17" s="1">
        <f t="shared" si="10"/>
        <v>7</v>
      </c>
      <c r="T17" s="1">
        <f t="shared" si="10"/>
        <v>7</v>
      </c>
      <c r="U17" s="1">
        <f t="shared" si="10"/>
        <v>7</v>
      </c>
      <c r="V17" s="1">
        <f t="shared" si="10"/>
        <v>7</v>
      </c>
      <c r="W17" s="1">
        <f t="shared" si="10"/>
        <v>7</v>
      </c>
      <c r="X17" s="1">
        <f t="shared" si="10"/>
        <v>7</v>
      </c>
      <c r="Y17" s="1">
        <f t="shared" si="10"/>
        <v>7</v>
      </c>
      <c r="Z17" s="1">
        <f t="shared" si="10"/>
        <v>7</v>
      </c>
      <c r="AA17" s="1">
        <f t="shared" si="10"/>
        <v>7</v>
      </c>
      <c r="AB17" s="1">
        <f t="shared" si="10"/>
        <v>7</v>
      </c>
      <c r="AC17" s="1">
        <f t="shared" si="10"/>
        <v>7</v>
      </c>
      <c r="AD17" s="1">
        <f t="shared" si="10"/>
        <v>7</v>
      </c>
      <c r="AE17" s="1">
        <f t="shared" si="10"/>
        <v>7</v>
      </c>
      <c r="AF17" s="1">
        <f t="shared" si="10"/>
        <v>7</v>
      </c>
      <c r="AG17" s="1">
        <f t="shared" si="10"/>
        <v>7</v>
      </c>
      <c r="AH17" s="1">
        <f t="shared" si="10"/>
        <v>7</v>
      </c>
      <c r="AI17" s="1">
        <f t="shared" si="10"/>
        <v>7</v>
      </c>
      <c r="AJ17" s="1">
        <f t="shared" ref="AJ17:BO17" si="11">IF(AJ16&gt;=0.7,AJ$4,0)</f>
        <v>7</v>
      </c>
      <c r="AK17" s="1">
        <f t="shared" si="11"/>
        <v>7</v>
      </c>
      <c r="AL17" s="1">
        <f t="shared" si="11"/>
        <v>7</v>
      </c>
      <c r="AM17" s="1">
        <f t="shared" si="11"/>
        <v>7</v>
      </c>
      <c r="AN17" s="1">
        <f t="shared" si="11"/>
        <v>7</v>
      </c>
      <c r="AO17" s="1">
        <f t="shared" si="11"/>
        <v>7</v>
      </c>
      <c r="AP17" s="1">
        <f t="shared" si="11"/>
        <v>7</v>
      </c>
      <c r="AQ17" s="1">
        <f t="shared" si="11"/>
        <v>0</v>
      </c>
      <c r="AR17" s="1">
        <f t="shared" si="11"/>
        <v>0</v>
      </c>
      <c r="AS17" s="1">
        <f t="shared" si="11"/>
        <v>0</v>
      </c>
      <c r="AT17" s="1">
        <f t="shared" si="11"/>
        <v>0</v>
      </c>
      <c r="AU17" s="1">
        <f t="shared" si="11"/>
        <v>0</v>
      </c>
      <c r="AV17" s="1">
        <f t="shared" si="11"/>
        <v>0</v>
      </c>
      <c r="AW17" s="1">
        <f t="shared" si="11"/>
        <v>0</v>
      </c>
      <c r="AX17" s="1">
        <f t="shared" si="11"/>
        <v>0</v>
      </c>
      <c r="AY17" s="1">
        <f t="shared" si="11"/>
        <v>0</v>
      </c>
      <c r="AZ17" s="1">
        <f t="shared" si="11"/>
        <v>0</v>
      </c>
      <c r="BA17" s="1">
        <f t="shared" si="11"/>
        <v>0</v>
      </c>
      <c r="BB17" s="1">
        <f t="shared" si="11"/>
        <v>0</v>
      </c>
      <c r="BC17" s="1">
        <f t="shared" si="11"/>
        <v>0</v>
      </c>
      <c r="BD17" s="1">
        <f t="shared" si="11"/>
        <v>0</v>
      </c>
      <c r="BF17" t="s">
        <v>56</v>
      </c>
      <c r="BG17" s="4">
        <f>IF(BG16="NA","NA",SUM(D17:P17)/SUM($D$4:$P$4))</f>
        <v>1</v>
      </c>
      <c r="BH17" s="4">
        <f>IF(BH16="NA","NA",SUM(R17:AC17)/SUM($R$4:$AC$4))</f>
        <v>1</v>
      </c>
      <c r="BI17" s="4">
        <f>IF(BI16="NA","NA",SUM(AD17:AP17)/SUM($AD$4:$AP$4))</f>
        <v>1</v>
      </c>
      <c r="BJ17" s="4">
        <f>IF(BJ16="NA","NA",SUM(AQ17:BD17)/SUM($AQ$4:$BD$4))</f>
        <v>0</v>
      </c>
    </row>
    <row r="18" spans="2:62" x14ac:dyDescent="0.2">
      <c r="B18" s="9"/>
      <c r="BG18" s="4"/>
    </row>
    <row r="19" spans="2:62" x14ac:dyDescent="0.2">
      <c r="B19" s="9"/>
      <c r="C19" t="s">
        <v>101</v>
      </c>
      <c r="D19" s="19">
        <v>1</v>
      </c>
      <c r="E19" s="19">
        <v>1</v>
      </c>
      <c r="F19" s="19">
        <v>1</v>
      </c>
      <c r="G19" s="19">
        <v>1</v>
      </c>
      <c r="H19" s="19">
        <v>1</v>
      </c>
      <c r="I19" s="19">
        <v>1</v>
      </c>
      <c r="J19" s="19">
        <v>1</v>
      </c>
      <c r="K19" s="19">
        <v>1</v>
      </c>
      <c r="L19" s="19">
        <v>1</v>
      </c>
      <c r="M19" s="19">
        <v>1</v>
      </c>
      <c r="N19" s="19">
        <v>1</v>
      </c>
      <c r="O19" s="19">
        <v>1</v>
      </c>
      <c r="P19" s="19">
        <v>1</v>
      </c>
      <c r="Q19" s="19">
        <v>1</v>
      </c>
      <c r="R19" s="19">
        <v>1</v>
      </c>
      <c r="S19" s="19">
        <v>1</v>
      </c>
      <c r="T19" s="19">
        <v>1</v>
      </c>
      <c r="U19" s="19">
        <v>1</v>
      </c>
      <c r="V19" s="19">
        <v>1</v>
      </c>
      <c r="W19" s="19">
        <v>1</v>
      </c>
      <c r="X19" s="19">
        <v>1</v>
      </c>
      <c r="Y19" s="19">
        <v>1</v>
      </c>
      <c r="Z19" s="19">
        <v>1</v>
      </c>
      <c r="AA19" s="19">
        <v>1</v>
      </c>
      <c r="AB19" s="19">
        <v>1</v>
      </c>
      <c r="AC19" s="19">
        <v>1</v>
      </c>
      <c r="AD19" s="19">
        <v>1</v>
      </c>
      <c r="AE19" s="19">
        <v>1</v>
      </c>
      <c r="AF19" s="19">
        <v>1</v>
      </c>
      <c r="AG19" s="19">
        <v>1</v>
      </c>
      <c r="AH19" s="19">
        <v>1</v>
      </c>
      <c r="AI19" s="19">
        <v>1</v>
      </c>
      <c r="AJ19" s="19">
        <v>1</v>
      </c>
      <c r="AK19" s="19">
        <v>1</v>
      </c>
      <c r="AL19" s="19">
        <v>0.9285714285714286</v>
      </c>
      <c r="AM19" s="19">
        <v>0.9285714285714286</v>
      </c>
      <c r="AN19" s="19">
        <v>0.9285714285714286</v>
      </c>
      <c r="AO19" s="19">
        <v>0.9285714285714286</v>
      </c>
      <c r="AP19" s="19">
        <v>0.9285714285714286</v>
      </c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F19" t="s">
        <v>57</v>
      </c>
      <c r="BG19" s="4">
        <f>P19</f>
        <v>1</v>
      </c>
      <c r="BH19" s="4">
        <f>AC19</f>
        <v>1</v>
      </c>
      <c r="BI19" s="4">
        <f>AP19</f>
        <v>0.9285714285714286</v>
      </c>
      <c r="BJ19" s="4">
        <f>BD19</f>
        <v>0</v>
      </c>
    </row>
    <row r="20" spans="2:62" x14ac:dyDescent="0.2">
      <c r="B20" s="9"/>
      <c r="C20" t="s">
        <v>102</v>
      </c>
      <c r="D20" s="1">
        <f t="shared" ref="D20:AI20" si="12">IF(D19&gt;=0.7,D$4,0)</f>
        <v>6</v>
      </c>
      <c r="E20" s="1">
        <f t="shared" si="12"/>
        <v>7</v>
      </c>
      <c r="F20" s="1">
        <f t="shared" si="12"/>
        <v>7</v>
      </c>
      <c r="G20" s="1">
        <f t="shared" si="12"/>
        <v>7</v>
      </c>
      <c r="H20" s="1">
        <f t="shared" si="12"/>
        <v>7</v>
      </c>
      <c r="I20" s="1">
        <f t="shared" si="12"/>
        <v>7</v>
      </c>
      <c r="J20" s="1">
        <f t="shared" si="12"/>
        <v>7</v>
      </c>
      <c r="K20" s="1">
        <f t="shared" si="12"/>
        <v>7</v>
      </c>
      <c r="L20" s="1">
        <f t="shared" si="12"/>
        <v>7</v>
      </c>
      <c r="M20" s="1">
        <f t="shared" si="12"/>
        <v>7</v>
      </c>
      <c r="N20" s="1">
        <f t="shared" si="12"/>
        <v>7</v>
      </c>
      <c r="O20" s="1">
        <f t="shared" si="12"/>
        <v>7</v>
      </c>
      <c r="P20" s="1">
        <f t="shared" si="12"/>
        <v>7</v>
      </c>
      <c r="Q20" s="1">
        <f t="shared" si="12"/>
        <v>7</v>
      </c>
      <c r="R20" s="1">
        <f t="shared" si="12"/>
        <v>7</v>
      </c>
      <c r="S20" s="1">
        <f t="shared" si="12"/>
        <v>7</v>
      </c>
      <c r="T20" s="1">
        <f t="shared" si="12"/>
        <v>7</v>
      </c>
      <c r="U20" s="1">
        <f t="shared" si="12"/>
        <v>7</v>
      </c>
      <c r="V20" s="1">
        <f t="shared" si="12"/>
        <v>7</v>
      </c>
      <c r="W20" s="1">
        <f t="shared" si="12"/>
        <v>7</v>
      </c>
      <c r="X20" s="1">
        <f t="shared" si="12"/>
        <v>7</v>
      </c>
      <c r="Y20" s="1">
        <f t="shared" si="12"/>
        <v>7</v>
      </c>
      <c r="Z20" s="1">
        <f t="shared" si="12"/>
        <v>7</v>
      </c>
      <c r="AA20" s="1">
        <f t="shared" si="12"/>
        <v>7</v>
      </c>
      <c r="AB20" s="1">
        <f t="shared" si="12"/>
        <v>7</v>
      </c>
      <c r="AC20" s="1">
        <f t="shared" si="12"/>
        <v>7</v>
      </c>
      <c r="AD20" s="1">
        <f t="shared" si="12"/>
        <v>7</v>
      </c>
      <c r="AE20" s="1">
        <f t="shared" si="12"/>
        <v>7</v>
      </c>
      <c r="AF20" s="1">
        <f t="shared" si="12"/>
        <v>7</v>
      </c>
      <c r="AG20" s="1">
        <f t="shared" si="12"/>
        <v>7</v>
      </c>
      <c r="AH20" s="1">
        <f t="shared" si="12"/>
        <v>7</v>
      </c>
      <c r="AI20" s="1">
        <f t="shared" si="12"/>
        <v>7</v>
      </c>
      <c r="AJ20" s="1">
        <f t="shared" ref="AJ20:BO20" si="13">IF(AJ19&gt;=0.7,AJ$4,0)</f>
        <v>7</v>
      </c>
      <c r="AK20" s="1">
        <f t="shared" si="13"/>
        <v>7</v>
      </c>
      <c r="AL20" s="1">
        <f t="shared" si="13"/>
        <v>7</v>
      </c>
      <c r="AM20" s="1">
        <f t="shared" si="13"/>
        <v>7</v>
      </c>
      <c r="AN20" s="1">
        <f t="shared" si="13"/>
        <v>7</v>
      </c>
      <c r="AO20" s="1">
        <f t="shared" si="13"/>
        <v>7</v>
      </c>
      <c r="AP20" s="1">
        <f t="shared" si="13"/>
        <v>7</v>
      </c>
      <c r="AQ20" s="1">
        <f t="shared" si="13"/>
        <v>0</v>
      </c>
      <c r="AR20" s="1">
        <f t="shared" si="13"/>
        <v>0</v>
      </c>
      <c r="AS20" s="1">
        <f t="shared" si="13"/>
        <v>0</v>
      </c>
      <c r="AT20" s="1">
        <f t="shared" si="13"/>
        <v>0</v>
      </c>
      <c r="AU20" s="1">
        <f t="shared" si="13"/>
        <v>0</v>
      </c>
      <c r="AV20" s="1">
        <f t="shared" si="13"/>
        <v>0</v>
      </c>
      <c r="AW20" s="1">
        <f t="shared" si="13"/>
        <v>0</v>
      </c>
      <c r="AX20" s="1">
        <f t="shared" si="13"/>
        <v>0</v>
      </c>
      <c r="AY20" s="1">
        <f t="shared" si="13"/>
        <v>0</v>
      </c>
      <c r="AZ20" s="1">
        <f t="shared" si="13"/>
        <v>0</v>
      </c>
      <c r="BA20" s="1">
        <f t="shared" si="13"/>
        <v>0</v>
      </c>
      <c r="BB20" s="1">
        <f t="shared" si="13"/>
        <v>0</v>
      </c>
      <c r="BC20" s="1">
        <f t="shared" si="13"/>
        <v>0</v>
      </c>
      <c r="BD20" s="1">
        <f t="shared" si="13"/>
        <v>0</v>
      </c>
      <c r="BF20" t="s">
        <v>58</v>
      </c>
      <c r="BG20" s="4">
        <f>IF(BG19="NA","NA",SUM(D20:P20)/SUM($D$4:$P$4))</f>
        <v>1</v>
      </c>
      <c r="BH20" s="4">
        <f>IF(BH19="NA","NA",SUM(R20:AC20)/SUM($R$4:$AC$4))</f>
        <v>1</v>
      </c>
      <c r="BI20" s="4">
        <f>IF(BI19="NA","NA",SUM(AD20:AP20)/SUM($AD$4:$AP$4))</f>
        <v>1</v>
      </c>
      <c r="BJ20" s="4">
        <f>IF(BJ19="NA","NA",SUM(AQ20:BD20)/SUM($AQ$4:$BD$4))</f>
        <v>0</v>
      </c>
    </row>
    <row r="21" spans="2:62" x14ac:dyDescent="0.2">
      <c r="B21" s="9"/>
      <c r="BG21" s="4"/>
    </row>
    <row r="22" spans="2:62" x14ac:dyDescent="0.2">
      <c r="B22" s="9"/>
      <c r="C22" t="s">
        <v>103</v>
      </c>
      <c r="D22" s="19" t="s">
        <v>104</v>
      </c>
      <c r="E22" s="19" t="s">
        <v>104</v>
      </c>
      <c r="F22" s="19" t="s">
        <v>104</v>
      </c>
      <c r="G22" s="19" t="s">
        <v>104</v>
      </c>
      <c r="H22" s="19" t="s">
        <v>104</v>
      </c>
      <c r="I22" s="19" t="s">
        <v>104</v>
      </c>
      <c r="J22" s="19" t="s">
        <v>104</v>
      </c>
      <c r="K22" s="19" t="s">
        <v>104</v>
      </c>
      <c r="L22" s="19" t="s">
        <v>104</v>
      </c>
      <c r="M22" s="19" t="s">
        <v>104</v>
      </c>
      <c r="N22" s="19" t="s">
        <v>104</v>
      </c>
      <c r="O22" s="19" t="s">
        <v>104</v>
      </c>
      <c r="P22" s="19" t="s">
        <v>104</v>
      </c>
      <c r="Q22" s="19" t="s">
        <v>104</v>
      </c>
      <c r="R22" s="19" t="s">
        <v>104</v>
      </c>
      <c r="S22" s="19" t="s">
        <v>104</v>
      </c>
      <c r="T22" s="19" t="s">
        <v>104</v>
      </c>
      <c r="U22" s="19" t="s">
        <v>104</v>
      </c>
      <c r="V22" s="19" t="s">
        <v>104</v>
      </c>
      <c r="W22" s="19" t="s">
        <v>104</v>
      </c>
      <c r="X22" s="19" t="s">
        <v>104</v>
      </c>
      <c r="Y22" s="19" t="s">
        <v>104</v>
      </c>
      <c r="Z22" s="19" t="s">
        <v>104</v>
      </c>
      <c r="AA22" s="19" t="s">
        <v>104</v>
      </c>
      <c r="AB22" s="19" t="s">
        <v>104</v>
      </c>
      <c r="AC22" s="19" t="s">
        <v>104</v>
      </c>
      <c r="AD22" s="19" t="s">
        <v>104</v>
      </c>
      <c r="AE22" s="19" t="s">
        <v>104</v>
      </c>
      <c r="AF22" s="19" t="s">
        <v>104</v>
      </c>
      <c r="AG22" s="19" t="s">
        <v>104</v>
      </c>
      <c r="AH22" s="19">
        <v>1</v>
      </c>
      <c r="AI22" s="19">
        <v>1</v>
      </c>
      <c r="AJ22" s="19">
        <v>1</v>
      </c>
      <c r="AK22" s="19">
        <v>1</v>
      </c>
      <c r="AL22" s="19">
        <v>1</v>
      </c>
      <c r="AM22" s="19">
        <v>1</v>
      </c>
      <c r="AN22" s="19">
        <v>1</v>
      </c>
      <c r="AO22" s="19">
        <v>1</v>
      </c>
      <c r="AP22" s="19">
        <v>1</v>
      </c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F22" t="s">
        <v>59</v>
      </c>
      <c r="BG22" s="4" t="str">
        <f>P22</f>
        <v>NA</v>
      </c>
      <c r="BH22" s="4" t="str">
        <f>AC22</f>
        <v>NA</v>
      </c>
      <c r="BI22" s="4">
        <f>AP22</f>
        <v>1</v>
      </c>
      <c r="BJ22" s="4">
        <f>BD22</f>
        <v>0</v>
      </c>
    </row>
    <row r="23" spans="2:62" x14ac:dyDescent="0.2">
      <c r="B23" s="9"/>
      <c r="C23" t="s">
        <v>105</v>
      </c>
      <c r="D23" s="1">
        <f t="shared" ref="D23:AI23" si="14">IF(D22&gt;=0.7,D$4,0)</f>
        <v>6</v>
      </c>
      <c r="E23" s="1">
        <f t="shared" si="14"/>
        <v>7</v>
      </c>
      <c r="F23" s="1">
        <f t="shared" si="14"/>
        <v>7</v>
      </c>
      <c r="G23" s="1">
        <f t="shared" si="14"/>
        <v>7</v>
      </c>
      <c r="H23" s="1">
        <f t="shared" si="14"/>
        <v>7</v>
      </c>
      <c r="I23" s="1">
        <f t="shared" si="14"/>
        <v>7</v>
      </c>
      <c r="J23" s="1">
        <f t="shared" si="14"/>
        <v>7</v>
      </c>
      <c r="K23" s="1">
        <f t="shared" si="14"/>
        <v>7</v>
      </c>
      <c r="L23" s="1">
        <f t="shared" si="14"/>
        <v>7</v>
      </c>
      <c r="M23" s="1">
        <f t="shared" si="14"/>
        <v>7</v>
      </c>
      <c r="N23" s="1">
        <f t="shared" si="14"/>
        <v>7</v>
      </c>
      <c r="O23" s="1">
        <f t="shared" si="14"/>
        <v>7</v>
      </c>
      <c r="P23" s="1">
        <f t="shared" si="14"/>
        <v>7</v>
      </c>
      <c r="Q23" s="1">
        <f t="shared" si="14"/>
        <v>7</v>
      </c>
      <c r="R23" s="1">
        <f t="shared" si="14"/>
        <v>7</v>
      </c>
      <c r="S23" s="1">
        <f t="shared" si="14"/>
        <v>7</v>
      </c>
      <c r="T23" s="1">
        <f t="shared" si="14"/>
        <v>7</v>
      </c>
      <c r="U23" s="1">
        <f t="shared" si="14"/>
        <v>7</v>
      </c>
      <c r="V23" s="1">
        <f t="shared" si="14"/>
        <v>7</v>
      </c>
      <c r="W23" s="1">
        <f t="shared" si="14"/>
        <v>7</v>
      </c>
      <c r="X23" s="1">
        <f t="shared" si="14"/>
        <v>7</v>
      </c>
      <c r="Y23" s="1">
        <f t="shared" si="14"/>
        <v>7</v>
      </c>
      <c r="Z23" s="1">
        <f t="shared" si="14"/>
        <v>7</v>
      </c>
      <c r="AA23" s="1">
        <f t="shared" si="14"/>
        <v>7</v>
      </c>
      <c r="AB23" s="1">
        <f t="shared" si="14"/>
        <v>7</v>
      </c>
      <c r="AC23" s="1">
        <f t="shared" si="14"/>
        <v>7</v>
      </c>
      <c r="AD23" s="1">
        <f t="shared" si="14"/>
        <v>7</v>
      </c>
      <c r="AE23" s="1">
        <f t="shared" si="14"/>
        <v>7</v>
      </c>
      <c r="AF23" s="1">
        <f t="shared" si="14"/>
        <v>7</v>
      </c>
      <c r="AG23" s="1">
        <f t="shared" si="14"/>
        <v>7</v>
      </c>
      <c r="AH23" s="1">
        <f t="shared" si="14"/>
        <v>7</v>
      </c>
      <c r="AI23" s="1">
        <f t="shared" si="14"/>
        <v>7</v>
      </c>
      <c r="AJ23" s="1">
        <f t="shared" ref="AJ23:BO23" si="15">IF(AJ22&gt;=0.7,AJ$4,0)</f>
        <v>7</v>
      </c>
      <c r="AK23" s="1">
        <f t="shared" si="15"/>
        <v>7</v>
      </c>
      <c r="AL23" s="1">
        <f t="shared" si="15"/>
        <v>7</v>
      </c>
      <c r="AM23" s="1">
        <f t="shared" si="15"/>
        <v>7</v>
      </c>
      <c r="AN23" s="1">
        <f t="shared" si="15"/>
        <v>7</v>
      </c>
      <c r="AO23" s="1">
        <f t="shared" si="15"/>
        <v>7</v>
      </c>
      <c r="AP23" s="1">
        <f t="shared" si="15"/>
        <v>7</v>
      </c>
      <c r="AQ23" s="1">
        <f t="shared" si="15"/>
        <v>0</v>
      </c>
      <c r="AR23" s="1">
        <f t="shared" si="15"/>
        <v>0</v>
      </c>
      <c r="AS23" s="1">
        <f t="shared" si="15"/>
        <v>0</v>
      </c>
      <c r="AT23" s="1">
        <f t="shared" si="15"/>
        <v>0</v>
      </c>
      <c r="AU23" s="1">
        <f t="shared" si="15"/>
        <v>0</v>
      </c>
      <c r="AV23" s="1">
        <f t="shared" si="15"/>
        <v>0</v>
      </c>
      <c r="AW23" s="1">
        <f t="shared" si="15"/>
        <v>0</v>
      </c>
      <c r="AX23" s="1">
        <f t="shared" si="15"/>
        <v>0</v>
      </c>
      <c r="AY23" s="1">
        <f t="shared" si="15"/>
        <v>0</v>
      </c>
      <c r="AZ23" s="1">
        <f t="shared" si="15"/>
        <v>0</v>
      </c>
      <c r="BA23" s="1">
        <f t="shared" si="15"/>
        <v>0</v>
      </c>
      <c r="BB23" s="1">
        <f t="shared" si="15"/>
        <v>0</v>
      </c>
      <c r="BC23" s="1">
        <f t="shared" si="15"/>
        <v>0</v>
      </c>
      <c r="BD23" s="1">
        <f t="shared" si="15"/>
        <v>0</v>
      </c>
      <c r="BF23" t="s">
        <v>60</v>
      </c>
      <c r="BG23" s="4" t="str">
        <f>IF(BG22="NA","NA",SUM(D23:P23)/SUM($D$4:$P$4))</f>
        <v>NA</v>
      </c>
      <c r="BH23" s="4" t="str">
        <f>IF(BH22="NA","NA",SUM(R23:AC23)/SUM($R$4:$AC$4))</f>
        <v>NA</v>
      </c>
      <c r="BI23" s="4">
        <f>IF(BI22="NA","NA",SUM(AD23:AP23)/SUM($AD$4:$AP$4))</f>
        <v>1</v>
      </c>
      <c r="BJ23" s="4">
        <f>IF(BJ22="NA","NA",SUM(AQ23:BD23)/SUM($AQ$4:$BD$4))</f>
        <v>0</v>
      </c>
    </row>
    <row r="24" spans="2:62" x14ac:dyDescent="0.2">
      <c r="B24" s="9"/>
      <c r="BG24" s="4"/>
    </row>
    <row r="25" spans="2:62" x14ac:dyDescent="0.2">
      <c r="B25" s="9"/>
      <c r="C25" t="s">
        <v>106</v>
      </c>
      <c r="D25" s="19" t="s">
        <v>104</v>
      </c>
      <c r="E25" s="19" t="s">
        <v>104</v>
      </c>
      <c r="F25" s="19" t="s">
        <v>104</v>
      </c>
      <c r="G25" s="19" t="s">
        <v>104</v>
      </c>
      <c r="H25" s="19" t="s">
        <v>104</v>
      </c>
      <c r="I25" s="19" t="s">
        <v>104</v>
      </c>
      <c r="J25" s="19" t="s">
        <v>104</v>
      </c>
      <c r="K25" s="19" t="s">
        <v>104</v>
      </c>
      <c r="L25" s="19" t="s">
        <v>104</v>
      </c>
      <c r="M25" s="19" t="s">
        <v>104</v>
      </c>
      <c r="N25" s="19" t="s">
        <v>104</v>
      </c>
      <c r="O25" s="19" t="s">
        <v>104</v>
      </c>
      <c r="P25" s="19" t="s">
        <v>104</v>
      </c>
      <c r="Q25" s="19" t="s">
        <v>104</v>
      </c>
      <c r="R25" s="19" t="s">
        <v>104</v>
      </c>
      <c r="S25" s="19" t="s">
        <v>104</v>
      </c>
      <c r="T25" s="19" t="s">
        <v>104</v>
      </c>
      <c r="U25" s="19" t="s">
        <v>104</v>
      </c>
      <c r="V25" s="19" t="s">
        <v>104</v>
      </c>
      <c r="W25" s="19" t="s">
        <v>104</v>
      </c>
      <c r="X25" s="19" t="s">
        <v>104</v>
      </c>
      <c r="Y25" s="19" t="s">
        <v>104</v>
      </c>
      <c r="Z25" s="19" t="s">
        <v>104</v>
      </c>
      <c r="AA25" s="19" t="s">
        <v>104</v>
      </c>
      <c r="AB25" s="19" t="s">
        <v>104</v>
      </c>
      <c r="AC25" s="19" t="s">
        <v>104</v>
      </c>
      <c r="AD25" s="19" t="s">
        <v>104</v>
      </c>
      <c r="AE25" s="19" t="s">
        <v>104</v>
      </c>
      <c r="AF25" s="19" t="s">
        <v>104</v>
      </c>
      <c r="AG25" s="19" t="s">
        <v>104</v>
      </c>
      <c r="AH25" s="19">
        <v>1</v>
      </c>
      <c r="AI25" s="19">
        <v>1</v>
      </c>
      <c r="AJ25" s="19">
        <v>1</v>
      </c>
      <c r="AK25" s="19">
        <v>1</v>
      </c>
      <c r="AL25" s="19">
        <v>1</v>
      </c>
      <c r="AM25" s="19">
        <v>1</v>
      </c>
      <c r="AN25" s="19">
        <v>1</v>
      </c>
      <c r="AO25" s="19">
        <v>1</v>
      </c>
      <c r="AP25" s="19">
        <v>1</v>
      </c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F25" t="s">
        <v>61</v>
      </c>
      <c r="BG25" s="4" t="str">
        <f>P25</f>
        <v>NA</v>
      </c>
      <c r="BH25" s="4" t="str">
        <f>AC25</f>
        <v>NA</v>
      </c>
      <c r="BI25" s="4">
        <f>AP25</f>
        <v>1</v>
      </c>
      <c r="BJ25" s="4">
        <f>BD25</f>
        <v>0</v>
      </c>
    </row>
    <row r="26" spans="2:62" x14ac:dyDescent="0.2">
      <c r="B26" s="9"/>
      <c r="C26" t="s">
        <v>107</v>
      </c>
      <c r="D26" s="1">
        <f t="shared" ref="D26:AI26" si="16">IF(D25&gt;=0.7,D$4,0)</f>
        <v>6</v>
      </c>
      <c r="E26" s="1">
        <f t="shared" si="16"/>
        <v>7</v>
      </c>
      <c r="F26" s="1">
        <f t="shared" si="16"/>
        <v>7</v>
      </c>
      <c r="G26" s="1">
        <f t="shared" si="16"/>
        <v>7</v>
      </c>
      <c r="H26" s="1">
        <f t="shared" si="16"/>
        <v>7</v>
      </c>
      <c r="I26" s="1">
        <f t="shared" si="16"/>
        <v>7</v>
      </c>
      <c r="J26" s="1">
        <f t="shared" si="16"/>
        <v>7</v>
      </c>
      <c r="K26" s="1">
        <f t="shared" si="16"/>
        <v>7</v>
      </c>
      <c r="L26" s="1">
        <f t="shared" si="16"/>
        <v>7</v>
      </c>
      <c r="M26" s="1">
        <f t="shared" si="16"/>
        <v>7</v>
      </c>
      <c r="N26" s="1">
        <f t="shared" si="16"/>
        <v>7</v>
      </c>
      <c r="O26" s="1">
        <f t="shared" si="16"/>
        <v>7</v>
      </c>
      <c r="P26" s="1">
        <f t="shared" si="16"/>
        <v>7</v>
      </c>
      <c r="Q26" s="1">
        <f t="shared" si="16"/>
        <v>7</v>
      </c>
      <c r="R26" s="1">
        <f t="shared" si="16"/>
        <v>7</v>
      </c>
      <c r="S26" s="1">
        <f t="shared" si="16"/>
        <v>7</v>
      </c>
      <c r="T26" s="1">
        <f t="shared" si="16"/>
        <v>7</v>
      </c>
      <c r="U26" s="1">
        <f t="shared" si="16"/>
        <v>7</v>
      </c>
      <c r="V26" s="1">
        <f t="shared" si="16"/>
        <v>7</v>
      </c>
      <c r="W26" s="1">
        <f t="shared" si="16"/>
        <v>7</v>
      </c>
      <c r="X26" s="1">
        <f t="shared" si="16"/>
        <v>7</v>
      </c>
      <c r="Y26" s="1">
        <f t="shared" si="16"/>
        <v>7</v>
      </c>
      <c r="Z26" s="1">
        <f t="shared" si="16"/>
        <v>7</v>
      </c>
      <c r="AA26" s="1">
        <f t="shared" si="16"/>
        <v>7</v>
      </c>
      <c r="AB26" s="1">
        <f t="shared" si="16"/>
        <v>7</v>
      </c>
      <c r="AC26" s="1">
        <f t="shared" si="16"/>
        <v>7</v>
      </c>
      <c r="AD26" s="1">
        <f t="shared" si="16"/>
        <v>7</v>
      </c>
      <c r="AE26" s="1">
        <f t="shared" si="16"/>
        <v>7</v>
      </c>
      <c r="AF26" s="1">
        <f t="shared" si="16"/>
        <v>7</v>
      </c>
      <c r="AG26" s="1">
        <f t="shared" si="16"/>
        <v>7</v>
      </c>
      <c r="AH26" s="1">
        <f t="shared" si="16"/>
        <v>7</v>
      </c>
      <c r="AI26" s="1">
        <f t="shared" si="16"/>
        <v>7</v>
      </c>
      <c r="AJ26" s="1">
        <f t="shared" ref="AJ26:BO26" si="17">IF(AJ25&gt;=0.7,AJ$4,0)</f>
        <v>7</v>
      </c>
      <c r="AK26" s="1">
        <f t="shared" si="17"/>
        <v>7</v>
      </c>
      <c r="AL26" s="1">
        <f t="shared" si="17"/>
        <v>7</v>
      </c>
      <c r="AM26" s="1">
        <f t="shared" si="17"/>
        <v>7</v>
      </c>
      <c r="AN26" s="1">
        <f t="shared" si="17"/>
        <v>7</v>
      </c>
      <c r="AO26" s="1">
        <f t="shared" si="17"/>
        <v>7</v>
      </c>
      <c r="AP26" s="1">
        <f t="shared" si="17"/>
        <v>7</v>
      </c>
      <c r="AQ26" s="1">
        <f t="shared" si="17"/>
        <v>0</v>
      </c>
      <c r="AR26" s="1">
        <f t="shared" si="17"/>
        <v>0</v>
      </c>
      <c r="AS26" s="1">
        <f t="shared" si="17"/>
        <v>0</v>
      </c>
      <c r="AT26" s="1">
        <f t="shared" si="17"/>
        <v>0</v>
      </c>
      <c r="AU26" s="1">
        <f t="shared" si="17"/>
        <v>0</v>
      </c>
      <c r="AV26" s="1">
        <f t="shared" si="17"/>
        <v>0</v>
      </c>
      <c r="AW26" s="1">
        <f t="shared" si="17"/>
        <v>0</v>
      </c>
      <c r="AX26" s="1">
        <f t="shared" si="17"/>
        <v>0</v>
      </c>
      <c r="AY26" s="1">
        <f t="shared" si="17"/>
        <v>0</v>
      </c>
      <c r="AZ26" s="1">
        <f t="shared" si="17"/>
        <v>0</v>
      </c>
      <c r="BA26" s="1">
        <f t="shared" si="17"/>
        <v>0</v>
      </c>
      <c r="BB26" s="1">
        <f t="shared" si="17"/>
        <v>0</v>
      </c>
      <c r="BC26" s="1">
        <f t="shared" si="17"/>
        <v>0</v>
      </c>
      <c r="BD26" s="1">
        <f t="shared" si="17"/>
        <v>0</v>
      </c>
      <c r="BF26" t="s">
        <v>62</v>
      </c>
      <c r="BG26" s="4" t="str">
        <f>IF(BG25="NA","NA",SUM(D26:P26)/SUM($D$4:$P$4))</f>
        <v>NA</v>
      </c>
      <c r="BH26" s="4" t="str">
        <f>IF(BH25="NA","NA",SUM(R26:AC26)/SUM($R$4:$AC$4))</f>
        <v>NA</v>
      </c>
      <c r="BI26" s="4">
        <f>IF(BI25="NA","NA",SUM(AD26:AP26)/SUM($AD$4:$AP$4))</f>
        <v>1</v>
      </c>
      <c r="BJ26" s="4">
        <f>IF(BJ25="NA","NA",SUM(AQ26:BD26)/SUM($AQ$4:$BD$4))</f>
        <v>0</v>
      </c>
    </row>
    <row r="27" spans="2:62" x14ac:dyDescent="0.2">
      <c r="B27" s="9"/>
      <c r="BG27" s="4"/>
    </row>
    <row r="28" spans="2:62" x14ac:dyDescent="0.2">
      <c r="B28" s="9"/>
      <c r="C28" t="s">
        <v>108</v>
      </c>
      <c r="D28" s="19" t="s">
        <v>104</v>
      </c>
      <c r="E28" s="19" t="s">
        <v>104</v>
      </c>
      <c r="F28" s="19" t="s">
        <v>104</v>
      </c>
      <c r="G28" s="19" t="s">
        <v>104</v>
      </c>
      <c r="H28" s="19" t="s">
        <v>104</v>
      </c>
      <c r="I28" s="19" t="s">
        <v>104</v>
      </c>
      <c r="J28" s="19" t="s">
        <v>104</v>
      </c>
      <c r="K28" s="19" t="s">
        <v>104</v>
      </c>
      <c r="L28" s="19" t="s">
        <v>104</v>
      </c>
      <c r="M28" s="19" t="s">
        <v>104</v>
      </c>
      <c r="N28" s="19" t="s">
        <v>104</v>
      </c>
      <c r="O28" s="19" t="s">
        <v>104</v>
      </c>
      <c r="P28" s="19" t="s">
        <v>104</v>
      </c>
      <c r="Q28" s="19" t="s">
        <v>104</v>
      </c>
      <c r="R28" s="19" t="s">
        <v>104</v>
      </c>
      <c r="S28" s="19" t="s">
        <v>104</v>
      </c>
      <c r="T28" s="19" t="s">
        <v>104</v>
      </c>
      <c r="U28" s="19" t="s">
        <v>104</v>
      </c>
      <c r="V28" s="19" t="s">
        <v>104</v>
      </c>
      <c r="W28" s="19" t="s">
        <v>104</v>
      </c>
      <c r="X28" s="19" t="s">
        <v>104</v>
      </c>
      <c r="Y28" s="19" t="s">
        <v>104</v>
      </c>
      <c r="Z28" s="19" t="s">
        <v>104</v>
      </c>
      <c r="AA28" s="19" t="s">
        <v>104</v>
      </c>
      <c r="AB28" s="19" t="s">
        <v>104</v>
      </c>
      <c r="AC28" s="19" t="s">
        <v>104</v>
      </c>
      <c r="AD28" s="19" t="s">
        <v>104</v>
      </c>
      <c r="AE28" s="19" t="s">
        <v>104</v>
      </c>
      <c r="AF28" s="19" t="s">
        <v>104</v>
      </c>
      <c r="AG28" s="19" t="s">
        <v>104</v>
      </c>
      <c r="AH28" s="19">
        <v>1</v>
      </c>
      <c r="AI28" s="19">
        <v>1</v>
      </c>
      <c r="AJ28" s="19">
        <v>1</v>
      </c>
      <c r="AK28" s="19">
        <v>1</v>
      </c>
      <c r="AL28" s="19">
        <v>1</v>
      </c>
      <c r="AM28" s="19">
        <v>1</v>
      </c>
      <c r="AN28" s="19">
        <v>1</v>
      </c>
      <c r="AO28" s="19">
        <v>1</v>
      </c>
      <c r="AP28" s="19">
        <v>1</v>
      </c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F28" t="s">
        <v>63</v>
      </c>
      <c r="BG28" s="4" t="str">
        <f>P28</f>
        <v>NA</v>
      </c>
      <c r="BH28" s="4" t="str">
        <f>AC28</f>
        <v>NA</v>
      </c>
      <c r="BI28" s="4">
        <f>AP28</f>
        <v>1</v>
      </c>
      <c r="BJ28" s="4">
        <f>BD28</f>
        <v>0</v>
      </c>
    </row>
    <row r="29" spans="2:62" x14ac:dyDescent="0.2">
      <c r="B29" s="9"/>
      <c r="C29" t="s">
        <v>109</v>
      </c>
      <c r="D29" s="1">
        <f t="shared" ref="D29:AI29" si="18">IF(D28&gt;=0.7,D$4,0)</f>
        <v>6</v>
      </c>
      <c r="E29" s="1">
        <f t="shared" si="18"/>
        <v>7</v>
      </c>
      <c r="F29" s="1">
        <f t="shared" si="18"/>
        <v>7</v>
      </c>
      <c r="G29" s="1">
        <f t="shared" si="18"/>
        <v>7</v>
      </c>
      <c r="H29" s="1">
        <f t="shared" si="18"/>
        <v>7</v>
      </c>
      <c r="I29" s="1">
        <f t="shared" si="18"/>
        <v>7</v>
      </c>
      <c r="J29" s="1">
        <f t="shared" si="18"/>
        <v>7</v>
      </c>
      <c r="K29" s="1">
        <f t="shared" si="18"/>
        <v>7</v>
      </c>
      <c r="L29" s="1">
        <f t="shared" si="18"/>
        <v>7</v>
      </c>
      <c r="M29" s="1">
        <f t="shared" si="18"/>
        <v>7</v>
      </c>
      <c r="N29" s="1">
        <f t="shared" si="18"/>
        <v>7</v>
      </c>
      <c r="O29" s="1">
        <f t="shared" si="18"/>
        <v>7</v>
      </c>
      <c r="P29" s="1">
        <f t="shared" si="18"/>
        <v>7</v>
      </c>
      <c r="Q29" s="1">
        <f t="shared" si="18"/>
        <v>7</v>
      </c>
      <c r="R29" s="1">
        <f t="shared" si="18"/>
        <v>7</v>
      </c>
      <c r="S29" s="1">
        <f t="shared" si="18"/>
        <v>7</v>
      </c>
      <c r="T29" s="1">
        <f t="shared" si="18"/>
        <v>7</v>
      </c>
      <c r="U29" s="1">
        <f t="shared" si="18"/>
        <v>7</v>
      </c>
      <c r="V29" s="1">
        <f t="shared" si="18"/>
        <v>7</v>
      </c>
      <c r="W29" s="1">
        <f t="shared" si="18"/>
        <v>7</v>
      </c>
      <c r="X29" s="1">
        <f t="shared" si="18"/>
        <v>7</v>
      </c>
      <c r="Y29" s="1">
        <f t="shared" si="18"/>
        <v>7</v>
      </c>
      <c r="Z29" s="1">
        <f t="shared" si="18"/>
        <v>7</v>
      </c>
      <c r="AA29" s="1">
        <f t="shared" si="18"/>
        <v>7</v>
      </c>
      <c r="AB29" s="1">
        <f t="shared" si="18"/>
        <v>7</v>
      </c>
      <c r="AC29" s="1">
        <f t="shared" si="18"/>
        <v>7</v>
      </c>
      <c r="AD29" s="1">
        <f t="shared" si="18"/>
        <v>7</v>
      </c>
      <c r="AE29" s="1">
        <f t="shared" si="18"/>
        <v>7</v>
      </c>
      <c r="AF29" s="1">
        <f t="shared" si="18"/>
        <v>7</v>
      </c>
      <c r="AG29" s="1">
        <f t="shared" si="18"/>
        <v>7</v>
      </c>
      <c r="AH29" s="1">
        <f t="shared" si="18"/>
        <v>7</v>
      </c>
      <c r="AI29" s="1">
        <f t="shared" si="18"/>
        <v>7</v>
      </c>
      <c r="AJ29" s="1">
        <f t="shared" ref="AJ29:BO29" si="19">IF(AJ28&gt;=0.7,AJ$4,0)</f>
        <v>7</v>
      </c>
      <c r="AK29" s="1">
        <f t="shared" si="19"/>
        <v>7</v>
      </c>
      <c r="AL29" s="1">
        <f t="shared" si="19"/>
        <v>7</v>
      </c>
      <c r="AM29" s="1">
        <f t="shared" si="19"/>
        <v>7</v>
      </c>
      <c r="AN29" s="1">
        <f t="shared" si="19"/>
        <v>7</v>
      </c>
      <c r="AO29" s="1">
        <f t="shared" si="19"/>
        <v>7</v>
      </c>
      <c r="AP29" s="1">
        <f t="shared" si="19"/>
        <v>7</v>
      </c>
      <c r="AQ29" s="1">
        <f t="shared" si="19"/>
        <v>0</v>
      </c>
      <c r="AR29" s="1">
        <f t="shared" si="19"/>
        <v>0</v>
      </c>
      <c r="AS29" s="1">
        <f t="shared" si="19"/>
        <v>0</v>
      </c>
      <c r="AT29" s="1">
        <f t="shared" si="19"/>
        <v>0</v>
      </c>
      <c r="AU29" s="1">
        <f t="shared" si="19"/>
        <v>0</v>
      </c>
      <c r="AV29" s="1">
        <f t="shared" si="19"/>
        <v>0</v>
      </c>
      <c r="AW29" s="1">
        <f t="shared" si="19"/>
        <v>0</v>
      </c>
      <c r="AX29" s="1">
        <f t="shared" si="19"/>
        <v>0</v>
      </c>
      <c r="AY29" s="1">
        <f t="shared" si="19"/>
        <v>0</v>
      </c>
      <c r="AZ29" s="1">
        <f t="shared" si="19"/>
        <v>0</v>
      </c>
      <c r="BA29" s="1">
        <f t="shared" si="19"/>
        <v>0</v>
      </c>
      <c r="BB29" s="1">
        <f t="shared" si="19"/>
        <v>0</v>
      </c>
      <c r="BC29" s="1">
        <f t="shared" si="19"/>
        <v>0</v>
      </c>
      <c r="BD29" s="1">
        <f t="shared" si="19"/>
        <v>0</v>
      </c>
      <c r="BF29" t="s">
        <v>64</v>
      </c>
      <c r="BG29" s="4" t="str">
        <f>IF(BG28="NA","NA",SUM(D29:P29)/SUM($D$4:$P$4))</f>
        <v>NA</v>
      </c>
      <c r="BH29" s="4" t="str">
        <f>IF(BH28="NA","NA",SUM(R29:AC29)/SUM($R$4:$AC$4))</f>
        <v>NA</v>
      </c>
      <c r="BI29" s="4">
        <f>IF(BI28="NA","NA",SUM(AD29:AP29)/SUM($AD$4:$AP$4))</f>
        <v>1</v>
      </c>
      <c r="BJ29" s="4">
        <f>IF(BJ28="NA","NA",SUM(AQ29:BD29)/SUM($AQ$4:$BD$4))</f>
        <v>0</v>
      </c>
    </row>
    <row r="30" spans="2:62" x14ac:dyDescent="0.2">
      <c r="B30" s="9"/>
      <c r="BG30" s="4"/>
    </row>
    <row r="31" spans="2:62" x14ac:dyDescent="0.2">
      <c r="B31" s="9"/>
      <c r="C31" t="s">
        <v>110</v>
      </c>
      <c r="D31" s="19" t="s">
        <v>104</v>
      </c>
      <c r="E31" s="19" t="s">
        <v>104</v>
      </c>
      <c r="F31" s="19" t="s">
        <v>104</v>
      </c>
      <c r="G31" s="19" t="s">
        <v>104</v>
      </c>
      <c r="H31" s="19" t="s">
        <v>104</v>
      </c>
      <c r="I31" s="19" t="s">
        <v>104</v>
      </c>
      <c r="J31" s="19" t="s">
        <v>104</v>
      </c>
      <c r="K31" s="19" t="s">
        <v>104</v>
      </c>
      <c r="L31" s="19" t="s">
        <v>104</v>
      </c>
      <c r="M31" s="19" t="s">
        <v>104</v>
      </c>
      <c r="N31" s="19" t="s">
        <v>104</v>
      </c>
      <c r="O31" s="19" t="s">
        <v>104</v>
      </c>
      <c r="P31" s="19" t="s">
        <v>104</v>
      </c>
      <c r="Q31" s="19" t="s">
        <v>104</v>
      </c>
      <c r="R31" s="19" t="s">
        <v>104</v>
      </c>
      <c r="S31" s="19" t="s">
        <v>104</v>
      </c>
      <c r="T31" s="19" t="s">
        <v>104</v>
      </c>
      <c r="U31" s="19" t="s">
        <v>104</v>
      </c>
      <c r="V31" s="19" t="s">
        <v>104</v>
      </c>
      <c r="W31" s="19" t="s">
        <v>104</v>
      </c>
      <c r="X31" s="19" t="s">
        <v>104</v>
      </c>
      <c r="Y31" s="19" t="s">
        <v>104</v>
      </c>
      <c r="Z31" s="19" t="s">
        <v>104</v>
      </c>
      <c r="AA31" s="19" t="s">
        <v>104</v>
      </c>
      <c r="AB31" s="19" t="s">
        <v>104</v>
      </c>
      <c r="AC31" s="19" t="s">
        <v>104</v>
      </c>
      <c r="AD31" s="19" t="s">
        <v>104</v>
      </c>
      <c r="AE31" s="19" t="s">
        <v>104</v>
      </c>
      <c r="AF31" s="19" t="s">
        <v>104</v>
      </c>
      <c r="AG31" s="19" t="s">
        <v>104</v>
      </c>
      <c r="AH31" s="19">
        <v>1</v>
      </c>
      <c r="AI31" s="19">
        <v>1</v>
      </c>
      <c r="AJ31" s="19" t="s">
        <v>104</v>
      </c>
      <c r="AK31" s="19" t="s">
        <v>104</v>
      </c>
      <c r="AL31" s="19" t="s">
        <v>104</v>
      </c>
      <c r="AM31" s="19" t="s">
        <v>104</v>
      </c>
      <c r="AN31" s="19" t="s">
        <v>104</v>
      </c>
      <c r="AO31" s="19" t="s">
        <v>104</v>
      </c>
      <c r="AP31" s="19" t="s">
        <v>104</v>
      </c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F31" t="s">
        <v>65</v>
      </c>
      <c r="BG31" s="4" t="str">
        <f>P31</f>
        <v>NA</v>
      </c>
      <c r="BH31" s="4" t="str">
        <f>AC31</f>
        <v>NA</v>
      </c>
      <c r="BI31" s="4" t="str">
        <f>AP31</f>
        <v>NA</v>
      </c>
      <c r="BJ31" s="4">
        <f>BD31</f>
        <v>0</v>
      </c>
    </row>
    <row r="32" spans="2:62" x14ac:dyDescent="0.2">
      <c r="B32" s="9"/>
      <c r="C32" t="s">
        <v>111</v>
      </c>
      <c r="D32" s="1">
        <f t="shared" ref="D32:AI32" si="20">IF(D31&gt;=0.7,D$4,0)</f>
        <v>6</v>
      </c>
      <c r="E32" s="1">
        <f t="shared" si="20"/>
        <v>7</v>
      </c>
      <c r="F32" s="1">
        <f t="shared" si="20"/>
        <v>7</v>
      </c>
      <c r="G32" s="1">
        <f t="shared" si="20"/>
        <v>7</v>
      </c>
      <c r="H32" s="1">
        <f t="shared" si="20"/>
        <v>7</v>
      </c>
      <c r="I32" s="1">
        <f t="shared" si="20"/>
        <v>7</v>
      </c>
      <c r="J32" s="1">
        <f t="shared" si="20"/>
        <v>7</v>
      </c>
      <c r="K32" s="1">
        <f t="shared" si="20"/>
        <v>7</v>
      </c>
      <c r="L32" s="1">
        <f t="shared" si="20"/>
        <v>7</v>
      </c>
      <c r="M32" s="1">
        <f t="shared" si="20"/>
        <v>7</v>
      </c>
      <c r="N32" s="1">
        <f t="shared" si="20"/>
        <v>7</v>
      </c>
      <c r="O32" s="1">
        <f t="shared" si="20"/>
        <v>7</v>
      </c>
      <c r="P32" s="1">
        <f t="shared" si="20"/>
        <v>7</v>
      </c>
      <c r="Q32" s="1">
        <f t="shared" si="20"/>
        <v>7</v>
      </c>
      <c r="R32" s="1">
        <f t="shared" si="20"/>
        <v>7</v>
      </c>
      <c r="S32" s="1">
        <f t="shared" si="20"/>
        <v>7</v>
      </c>
      <c r="T32" s="1">
        <f t="shared" si="20"/>
        <v>7</v>
      </c>
      <c r="U32" s="1">
        <f t="shared" si="20"/>
        <v>7</v>
      </c>
      <c r="V32" s="1">
        <f t="shared" si="20"/>
        <v>7</v>
      </c>
      <c r="W32" s="1">
        <f t="shared" si="20"/>
        <v>7</v>
      </c>
      <c r="X32" s="1">
        <f t="shared" si="20"/>
        <v>7</v>
      </c>
      <c r="Y32" s="1">
        <f t="shared" si="20"/>
        <v>7</v>
      </c>
      <c r="Z32" s="1">
        <f t="shared" si="20"/>
        <v>7</v>
      </c>
      <c r="AA32" s="1">
        <f t="shared" si="20"/>
        <v>7</v>
      </c>
      <c r="AB32" s="1">
        <f t="shared" si="20"/>
        <v>7</v>
      </c>
      <c r="AC32" s="1">
        <f t="shared" si="20"/>
        <v>7</v>
      </c>
      <c r="AD32" s="1">
        <f t="shared" si="20"/>
        <v>7</v>
      </c>
      <c r="AE32" s="1">
        <f t="shared" si="20"/>
        <v>7</v>
      </c>
      <c r="AF32" s="1">
        <f t="shared" si="20"/>
        <v>7</v>
      </c>
      <c r="AG32" s="1">
        <f t="shared" si="20"/>
        <v>7</v>
      </c>
      <c r="AH32" s="1">
        <f t="shared" si="20"/>
        <v>7</v>
      </c>
      <c r="AI32" s="1">
        <f t="shared" si="20"/>
        <v>7</v>
      </c>
      <c r="AJ32" s="1">
        <f t="shared" ref="AJ32:BO32" si="21">IF(AJ31&gt;=0.7,AJ$4,0)</f>
        <v>7</v>
      </c>
      <c r="AK32" s="1">
        <f t="shared" si="21"/>
        <v>7</v>
      </c>
      <c r="AL32" s="1">
        <f t="shared" si="21"/>
        <v>7</v>
      </c>
      <c r="AM32" s="1">
        <f t="shared" si="21"/>
        <v>7</v>
      </c>
      <c r="AN32" s="1">
        <f t="shared" si="21"/>
        <v>7</v>
      </c>
      <c r="AO32" s="1">
        <f t="shared" si="21"/>
        <v>7</v>
      </c>
      <c r="AP32" s="1">
        <f t="shared" si="21"/>
        <v>7</v>
      </c>
      <c r="AQ32" s="1">
        <f t="shared" si="21"/>
        <v>0</v>
      </c>
      <c r="AR32" s="1">
        <f t="shared" si="21"/>
        <v>0</v>
      </c>
      <c r="AS32" s="1">
        <f t="shared" si="21"/>
        <v>0</v>
      </c>
      <c r="AT32" s="1">
        <f t="shared" si="21"/>
        <v>0</v>
      </c>
      <c r="AU32" s="1">
        <f t="shared" si="21"/>
        <v>0</v>
      </c>
      <c r="AV32" s="1">
        <f t="shared" si="21"/>
        <v>0</v>
      </c>
      <c r="AW32" s="1">
        <f t="shared" si="21"/>
        <v>0</v>
      </c>
      <c r="AX32" s="1">
        <f t="shared" si="21"/>
        <v>0</v>
      </c>
      <c r="AY32" s="1">
        <f t="shared" si="21"/>
        <v>0</v>
      </c>
      <c r="AZ32" s="1">
        <f t="shared" si="21"/>
        <v>0</v>
      </c>
      <c r="BA32" s="1">
        <f t="shared" si="21"/>
        <v>0</v>
      </c>
      <c r="BB32" s="1">
        <f t="shared" si="21"/>
        <v>0</v>
      </c>
      <c r="BC32" s="1">
        <f t="shared" si="21"/>
        <v>0</v>
      </c>
      <c r="BD32" s="1">
        <f t="shared" si="21"/>
        <v>0</v>
      </c>
      <c r="BF32" t="s">
        <v>66</v>
      </c>
      <c r="BG32" s="4" t="str">
        <f>IF(BG31="NA","NA",SUM(D32:P32)/SUM($D$4:$P$4))</f>
        <v>NA</v>
      </c>
      <c r="BH32" s="4" t="str">
        <f>IF(BH31="NA","NA",SUM(R32:AC32)/SUM($R$4:$AC$4))</f>
        <v>NA</v>
      </c>
      <c r="BI32" s="4" t="str">
        <f>IF(BI31="NA","NA",SUM(AD32:AP32)/SUM($AD$4:$AP$4))</f>
        <v>NA</v>
      </c>
      <c r="BJ32" s="4">
        <f>IF(BJ31="NA","NA",SUM(AQ32:BD32)/SUM($AQ$4:$BD$4))</f>
        <v>0</v>
      </c>
    </row>
    <row r="33" spans="2:62" x14ac:dyDescent="0.2">
      <c r="B33" s="9"/>
      <c r="BG33" s="4"/>
    </row>
    <row r="34" spans="2:62" x14ac:dyDescent="0.2">
      <c r="B34" s="9" t="s">
        <v>38</v>
      </c>
      <c r="BG34" s="4"/>
    </row>
    <row r="35" spans="2:62" x14ac:dyDescent="0.2">
      <c r="B35" s="9"/>
      <c r="C35" t="s">
        <v>112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F35" t="s">
        <v>67</v>
      </c>
      <c r="BG35" s="4">
        <f>P35</f>
        <v>0</v>
      </c>
      <c r="BH35" s="4">
        <f>AC35</f>
        <v>0</v>
      </c>
      <c r="BI35" s="4">
        <f>AP35</f>
        <v>0</v>
      </c>
      <c r="BJ35" s="4">
        <f>BD35</f>
        <v>0</v>
      </c>
    </row>
    <row r="36" spans="2:62" x14ac:dyDescent="0.2">
      <c r="B36" s="9"/>
      <c r="C36" t="s">
        <v>113</v>
      </c>
      <c r="D36" s="1">
        <f t="shared" ref="D36:AI36" si="22">IF(D35&gt;=0.7,D$4,0)</f>
        <v>0</v>
      </c>
      <c r="E36" s="1">
        <f t="shared" si="22"/>
        <v>0</v>
      </c>
      <c r="F36" s="1">
        <f t="shared" si="22"/>
        <v>0</v>
      </c>
      <c r="G36" s="1">
        <f t="shared" si="22"/>
        <v>0</v>
      </c>
      <c r="H36" s="1">
        <f t="shared" si="22"/>
        <v>0</v>
      </c>
      <c r="I36" s="1">
        <f t="shared" si="22"/>
        <v>0</v>
      </c>
      <c r="J36" s="1">
        <f t="shared" si="22"/>
        <v>0</v>
      </c>
      <c r="K36" s="1">
        <f t="shared" si="22"/>
        <v>0</v>
      </c>
      <c r="L36" s="1">
        <f t="shared" si="22"/>
        <v>0</v>
      </c>
      <c r="M36" s="1">
        <f t="shared" si="22"/>
        <v>0</v>
      </c>
      <c r="N36" s="1">
        <f t="shared" si="22"/>
        <v>0</v>
      </c>
      <c r="O36" s="1">
        <f t="shared" si="22"/>
        <v>0</v>
      </c>
      <c r="P36" s="1">
        <f t="shared" si="22"/>
        <v>0</v>
      </c>
      <c r="Q36" s="1">
        <f t="shared" si="22"/>
        <v>0</v>
      </c>
      <c r="R36" s="1">
        <f t="shared" si="22"/>
        <v>0</v>
      </c>
      <c r="S36" s="1">
        <f t="shared" si="22"/>
        <v>0</v>
      </c>
      <c r="T36" s="1">
        <f t="shared" si="22"/>
        <v>0</v>
      </c>
      <c r="U36" s="1">
        <f t="shared" si="22"/>
        <v>0</v>
      </c>
      <c r="V36" s="1">
        <f t="shared" si="22"/>
        <v>0</v>
      </c>
      <c r="W36" s="1">
        <f t="shared" si="22"/>
        <v>0</v>
      </c>
      <c r="X36" s="1">
        <f t="shared" si="22"/>
        <v>0</v>
      </c>
      <c r="Y36" s="1">
        <f t="shared" si="22"/>
        <v>0</v>
      </c>
      <c r="Z36" s="1">
        <f t="shared" si="22"/>
        <v>0</v>
      </c>
      <c r="AA36" s="1">
        <f t="shared" si="22"/>
        <v>0</v>
      </c>
      <c r="AB36" s="1">
        <f t="shared" si="22"/>
        <v>0</v>
      </c>
      <c r="AC36" s="1">
        <f t="shared" si="22"/>
        <v>0</v>
      </c>
      <c r="AD36" s="1">
        <f t="shared" si="22"/>
        <v>0</v>
      </c>
      <c r="AE36" s="1">
        <f t="shared" si="22"/>
        <v>0</v>
      </c>
      <c r="AF36" s="1">
        <f t="shared" si="22"/>
        <v>0</v>
      </c>
      <c r="AG36" s="1">
        <f t="shared" si="22"/>
        <v>0</v>
      </c>
      <c r="AH36" s="1">
        <f t="shared" si="22"/>
        <v>0</v>
      </c>
      <c r="AI36" s="1">
        <f t="shared" si="22"/>
        <v>0</v>
      </c>
      <c r="AJ36" s="1">
        <f t="shared" ref="AJ36:BO36" si="23">IF(AJ35&gt;=0.7,AJ$4,0)</f>
        <v>0</v>
      </c>
      <c r="AK36" s="1">
        <f t="shared" si="23"/>
        <v>0</v>
      </c>
      <c r="AL36" s="1">
        <f t="shared" si="23"/>
        <v>0</v>
      </c>
      <c r="AM36" s="1">
        <f t="shared" si="23"/>
        <v>0</v>
      </c>
      <c r="AN36" s="1">
        <f t="shared" si="23"/>
        <v>0</v>
      </c>
      <c r="AO36" s="1">
        <f t="shared" si="23"/>
        <v>0</v>
      </c>
      <c r="AP36" s="1">
        <f t="shared" si="23"/>
        <v>0</v>
      </c>
      <c r="AQ36" s="1">
        <f t="shared" si="23"/>
        <v>0</v>
      </c>
      <c r="AR36" s="1">
        <f t="shared" si="23"/>
        <v>0</v>
      </c>
      <c r="AS36" s="1">
        <f t="shared" si="23"/>
        <v>0</v>
      </c>
      <c r="AT36" s="1">
        <f t="shared" si="23"/>
        <v>0</v>
      </c>
      <c r="AU36" s="1">
        <f t="shared" si="23"/>
        <v>0</v>
      </c>
      <c r="AV36" s="1">
        <f t="shared" si="23"/>
        <v>0</v>
      </c>
      <c r="AW36" s="1">
        <f t="shared" si="23"/>
        <v>0</v>
      </c>
      <c r="AX36" s="1">
        <f t="shared" si="23"/>
        <v>0</v>
      </c>
      <c r="AY36" s="1">
        <f t="shared" si="23"/>
        <v>0</v>
      </c>
      <c r="AZ36" s="1">
        <f t="shared" si="23"/>
        <v>0</v>
      </c>
      <c r="BA36" s="1">
        <f t="shared" si="23"/>
        <v>0</v>
      </c>
      <c r="BB36" s="1">
        <f t="shared" si="23"/>
        <v>0</v>
      </c>
      <c r="BC36" s="1">
        <f t="shared" si="23"/>
        <v>0</v>
      </c>
      <c r="BD36" s="1">
        <f t="shared" si="23"/>
        <v>0</v>
      </c>
      <c r="BF36" t="s">
        <v>68</v>
      </c>
      <c r="BG36" s="4">
        <f>IF(BG35="NA","NA",SUM(D36:P36)/SUM($D$4:$P$4))</f>
        <v>0</v>
      </c>
      <c r="BH36" s="4">
        <f>IF(BH35="NA","NA",SUM(R36:AC36)/SUM($R$4:$AC$4))</f>
        <v>0</v>
      </c>
      <c r="BI36" s="4">
        <f>IF(BI35="NA","NA",SUM(AD36:AP36)/SUM($AD$4:$AP$4))</f>
        <v>0</v>
      </c>
      <c r="BJ36" s="4">
        <f>IF(BJ35="NA","NA",SUM(AQ36:BD36)/SUM($AQ$4:$BD$4))</f>
        <v>0</v>
      </c>
    </row>
    <row r="37" spans="2:62" x14ac:dyDescent="0.2">
      <c r="BG37" s="4"/>
    </row>
    <row r="38" spans="2:62" x14ac:dyDescent="0.2">
      <c r="B38" s="9"/>
      <c r="C38" t="s">
        <v>114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F38" t="s">
        <v>69</v>
      </c>
      <c r="BG38" s="4">
        <f>P38</f>
        <v>0</v>
      </c>
      <c r="BH38" s="4">
        <f>AC38</f>
        <v>0</v>
      </c>
      <c r="BI38" s="4">
        <f>AP38</f>
        <v>0</v>
      </c>
      <c r="BJ38" s="4">
        <f>BD38</f>
        <v>0</v>
      </c>
    </row>
    <row r="39" spans="2:62" x14ac:dyDescent="0.2">
      <c r="B39" s="9"/>
      <c r="C39" t="s">
        <v>115</v>
      </c>
      <c r="D39" s="1">
        <f t="shared" ref="D39:AI39" si="24">IF(D38&gt;=0.7,D$4,0)</f>
        <v>0</v>
      </c>
      <c r="E39" s="1">
        <f t="shared" si="24"/>
        <v>0</v>
      </c>
      <c r="F39" s="1">
        <f t="shared" si="24"/>
        <v>0</v>
      </c>
      <c r="G39" s="1">
        <f t="shared" si="24"/>
        <v>0</v>
      </c>
      <c r="H39" s="1">
        <f t="shared" si="24"/>
        <v>0</v>
      </c>
      <c r="I39" s="1">
        <f t="shared" si="24"/>
        <v>0</v>
      </c>
      <c r="J39" s="1">
        <f t="shared" si="24"/>
        <v>0</v>
      </c>
      <c r="K39" s="1">
        <f t="shared" si="24"/>
        <v>0</v>
      </c>
      <c r="L39" s="1">
        <f t="shared" si="24"/>
        <v>0</v>
      </c>
      <c r="M39" s="1">
        <f t="shared" si="24"/>
        <v>0</v>
      </c>
      <c r="N39" s="1">
        <f t="shared" si="24"/>
        <v>0</v>
      </c>
      <c r="O39" s="1">
        <f t="shared" si="24"/>
        <v>0</v>
      </c>
      <c r="P39" s="1">
        <f t="shared" si="24"/>
        <v>0</v>
      </c>
      <c r="Q39" s="1">
        <f t="shared" si="24"/>
        <v>0</v>
      </c>
      <c r="R39" s="1">
        <f t="shared" si="24"/>
        <v>0</v>
      </c>
      <c r="S39" s="1">
        <f t="shared" si="24"/>
        <v>0</v>
      </c>
      <c r="T39" s="1">
        <f t="shared" si="24"/>
        <v>0</v>
      </c>
      <c r="U39" s="1">
        <f t="shared" si="24"/>
        <v>0</v>
      </c>
      <c r="V39" s="1">
        <f t="shared" si="24"/>
        <v>0</v>
      </c>
      <c r="W39" s="1">
        <f t="shared" si="24"/>
        <v>0</v>
      </c>
      <c r="X39" s="1">
        <f t="shared" si="24"/>
        <v>0</v>
      </c>
      <c r="Y39" s="1">
        <f t="shared" si="24"/>
        <v>0</v>
      </c>
      <c r="Z39" s="1">
        <f t="shared" si="24"/>
        <v>0</v>
      </c>
      <c r="AA39" s="1">
        <f t="shared" si="24"/>
        <v>0</v>
      </c>
      <c r="AB39" s="1">
        <f t="shared" si="24"/>
        <v>0</v>
      </c>
      <c r="AC39" s="1">
        <f t="shared" si="24"/>
        <v>0</v>
      </c>
      <c r="AD39" s="1">
        <f t="shared" si="24"/>
        <v>0</v>
      </c>
      <c r="AE39" s="1">
        <f t="shared" si="24"/>
        <v>0</v>
      </c>
      <c r="AF39" s="1">
        <f t="shared" si="24"/>
        <v>0</v>
      </c>
      <c r="AG39" s="1">
        <f t="shared" si="24"/>
        <v>0</v>
      </c>
      <c r="AH39" s="1">
        <f t="shared" si="24"/>
        <v>0</v>
      </c>
      <c r="AI39" s="1">
        <f t="shared" si="24"/>
        <v>0</v>
      </c>
      <c r="AJ39" s="1">
        <f t="shared" ref="AJ39:BO39" si="25">IF(AJ38&gt;=0.7,AJ$4,0)</f>
        <v>0</v>
      </c>
      <c r="AK39" s="1">
        <f t="shared" si="25"/>
        <v>0</v>
      </c>
      <c r="AL39" s="1">
        <f t="shared" si="25"/>
        <v>0</v>
      </c>
      <c r="AM39" s="1">
        <f t="shared" si="25"/>
        <v>0</v>
      </c>
      <c r="AN39" s="1">
        <f t="shared" si="25"/>
        <v>0</v>
      </c>
      <c r="AO39" s="1">
        <f t="shared" si="25"/>
        <v>0</v>
      </c>
      <c r="AP39" s="1">
        <f t="shared" si="25"/>
        <v>0</v>
      </c>
      <c r="AQ39" s="1">
        <f t="shared" si="25"/>
        <v>0</v>
      </c>
      <c r="AR39" s="1">
        <f t="shared" si="25"/>
        <v>0</v>
      </c>
      <c r="AS39" s="1">
        <f t="shared" si="25"/>
        <v>0</v>
      </c>
      <c r="AT39" s="1">
        <f t="shared" si="25"/>
        <v>0</v>
      </c>
      <c r="AU39" s="1">
        <f t="shared" si="25"/>
        <v>0</v>
      </c>
      <c r="AV39" s="1">
        <f t="shared" si="25"/>
        <v>0</v>
      </c>
      <c r="AW39" s="1">
        <f t="shared" si="25"/>
        <v>0</v>
      </c>
      <c r="AX39" s="1">
        <f t="shared" si="25"/>
        <v>0</v>
      </c>
      <c r="AY39" s="1">
        <f t="shared" si="25"/>
        <v>0</v>
      </c>
      <c r="AZ39" s="1">
        <f t="shared" si="25"/>
        <v>0</v>
      </c>
      <c r="BA39" s="1">
        <f t="shared" si="25"/>
        <v>0</v>
      </c>
      <c r="BB39" s="1">
        <f t="shared" si="25"/>
        <v>0</v>
      </c>
      <c r="BC39" s="1">
        <f t="shared" si="25"/>
        <v>0</v>
      </c>
      <c r="BD39" s="1">
        <f t="shared" si="25"/>
        <v>0</v>
      </c>
      <c r="BF39" t="s">
        <v>70</v>
      </c>
      <c r="BG39" s="4">
        <f>IF(BG38="NA","NA",SUM(D39:P39)/SUM($D$4:$P$4))</f>
        <v>0</v>
      </c>
      <c r="BH39" s="4">
        <f>IF(BH38="NA","NA",SUM(R39:AC39)/SUM($R$4:$AC$4))</f>
        <v>0</v>
      </c>
      <c r="BI39" s="4">
        <f>IF(BI38="NA","NA",SUM(AD39:AP39)/SUM($AD$4:$AP$4))</f>
        <v>0</v>
      </c>
      <c r="BJ39" s="4">
        <f>IF(BJ38="NA","NA",SUM(AQ39:BD39)/SUM($AQ$4:$BD$4))</f>
        <v>0</v>
      </c>
    </row>
    <row r="40" spans="2:62" x14ac:dyDescent="0.2">
      <c r="BG40" s="4"/>
    </row>
    <row r="41" spans="2:62" x14ac:dyDescent="0.2">
      <c r="B41" s="9"/>
      <c r="C41" t="s">
        <v>116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F41" t="s">
        <v>71</v>
      </c>
      <c r="BG41" s="4">
        <f>P41</f>
        <v>0</v>
      </c>
      <c r="BH41" s="4">
        <f>AC41</f>
        <v>0</v>
      </c>
      <c r="BI41" s="4">
        <f>AP41</f>
        <v>0</v>
      </c>
      <c r="BJ41" s="4">
        <f>BD41</f>
        <v>0</v>
      </c>
    </row>
    <row r="42" spans="2:62" x14ac:dyDescent="0.2">
      <c r="B42" s="9"/>
      <c r="C42" t="s">
        <v>117</v>
      </c>
      <c r="D42" s="1">
        <f t="shared" ref="D42:AI42" si="26">IF(D41&gt;=0.7,D$4,0)</f>
        <v>0</v>
      </c>
      <c r="E42" s="1">
        <f t="shared" si="26"/>
        <v>0</v>
      </c>
      <c r="F42" s="1">
        <f t="shared" si="26"/>
        <v>0</v>
      </c>
      <c r="G42" s="1">
        <f t="shared" si="26"/>
        <v>0</v>
      </c>
      <c r="H42" s="1">
        <f t="shared" si="26"/>
        <v>0</v>
      </c>
      <c r="I42" s="1">
        <f t="shared" si="26"/>
        <v>0</v>
      </c>
      <c r="J42" s="1">
        <f t="shared" si="26"/>
        <v>0</v>
      </c>
      <c r="K42" s="1">
        <f t="shared" si="26"/>
        <v>0</v>
      </c>
      <c r="L42" s="1">
        <f t="shared" si="26"/>
        <v>0</v>
      </c>
      <c r="M42" s="1">
        <f t="shared" si="26"/>
        <v>0</v>
      </c>
      <c r="N42" s="1">
        <f t="shared" si="26"/>
        <v>0</v>
      </c>
      <c r="O42" s="1">
        <f t="shared" si="26"/>
        <v>0</v>
      </c>
      <c r="P42" s="1">
        <f t="shared" si="26"/>
        <v>0</v>
      </c>
      <c r="Q42" s="1">
        <f t="shared" si="26"/>
        <v>0</v>
      </c>
      <c r="R42" s="1">
        <f t="shared" si="26"/>
        <v>0</v>
      </c>
      <c r="S42" s="1">
        <f t="shared" si="26"/>
        <v>0</v>
      </c>
      <c r="T42" s="1">
        <f t="shared" si="26"/>
        <v>0</v>
      </c>
      <c r="U42" s="1">
        <f t="shared" si="26"/>
        <v>0</v>
      </c>
      <c r="V42" s="1">
        <f t="shared" si="26"/>
        <v>0</v>
      </c>
      <c r="W42" s="1">
        <f t="shared" si="26"/>
        <v>0</v>
      </c>
      <c r="X42" s="1">
        <f t="shared" si="26"/>
        <v>0</v>
      </c>
      <c r="Y42" s="1">
        <f t="shared" si="26"/>
        <v>0</v>
      </c>
      <c r="Z42" s="1">
        <f t="shared" si="26"/>
        <v>0</v>
      </c>
      <c r="AA42" s="1">
        <f t="shared" si="26"/>
        <v>0</v>
      </c>
      <c r="AB42" s="1">
        <f t="shared" si="26"/>
        <v>0</v>
      </c>
      <c r="AC42" s="1">
        <f t="shared" si="26"/>
        <v>0</v>
      </c>
      <c r="AD42" s="1">
        <f t="shared" si="26"/>
        <v>0</v>
      </c>
      <c r="AE42" s="1">
        <f t="shared" si="26"/>
        <v>0</v>
      </c>
      <c r="AF42" s="1">
        <f t="shared" si="26"/>
        <v>0</v>
      </c>
      <c r="AG42" s="1">
        <f t="shared" si="26"/>
        <v>0</v>
      </c>
      <c r="AH42" s="1">
        <f t="shared" si="26"/>
        <v>0</v>
      </c>
      <c r="AI42" s="1">
        <f t="shared" si="26"/>
        <v>0</v>
      </c>
      <c r="AJ42" s="1">
        <f t="shared" ref="AJ42:BO42" si="27">IF(AJ41&gt;=0.7,AJ$4,0)</f>
        <v>0</v>
      </c>
      <c r="AK42" s="1">
        <f t="shared" si="27"/>
        <v>0</v>
      </c>
      <c r="AL42" s="1">
        <f t="shared" si="27"/>
        <v>0</v>
      </c>
      <c r="AM42" s="1">
        <f t="shared" si="27"/>
        <v>0</v>
      </c>
      <c r="AN42" s="1">
        <f t="shared" si="27"/>
        <v>0</v>
      </c>
      <c r="AO42" s="1">
        <f t="shared" si="27"/>
        <v>0</v>
      </c>
      <c r="AP42" s="1">
        <f t="shared" si="27"/>
        <v>0</v>
      </c>
      <c r="AQ42" s="1">
        <f t="shared" si="27"/>
        <v>0</v>
      </c>
      <c r="AR42" s="1">
        <f t="shared" si="27"/>
        <v>0</v>
      </c>
      <c r="AS42" s="1">
        <f t="shared" si="27"/>
        <v>0</v>
      </c>
      <c r="AT42" s="1">
        <f t="shared" si="27"/>
        <v>0</v>
      </c>
      <c r="AU42" s="1">
        <f t="shared" si="27"/>
        <v>0</v>
      </c>
      <c r="AV42" s="1">
        <f t="shared" si="27"/>
        <v>0</v>
      </c>
      <c r="AW42" s="1">
        <f t="shared" si="27"/>
        <v>0</v>
      </c>
      <c r="AX42" s="1">
        <f t="shared" si="27"/>
        <v>0</v>
      </c>
      <c r="AY42" s="1">
        <f t="shared" si="27"/>
        <v>0</v>
      </c>
      <c r="AZ42" s="1">
        <f t="shared" si="27"/>
        <v>0</v>
      </c>
      <c r="BA42" s="1">
        <f t="shared" si="27"/>
        <v>0</v>
      </c>
      <c r="BB42" s="1">
        <f t="shared" si="27"/>
        <v>0</v>
      </c>
      <c r="BC42" s="1">
        <f t="shared" si="27"/>
        <v>0</v>
      </c>
      <c r="BD42" s="1">
        <f t="shared" si="27"/>
        <v>0</v>
      </c>
      <c r="BF42" t="s">
        <v>72</v>
      </c>
      <c r="BG42" s="4">
        <f>IF(BG41="NA","NA",SUM(D42:P42)/SUM($D$4:$P$4))</f>
        <v>0</v>
      </c>
      <c r="BH42" s="4">
        <f>IF(BH41="NA","NA",SUM(R42:AC42)/SUM($R$4:$AC$4))</f>
        <v>0</v>
      </c>
      <c r="BI42" s="4">
        <f>IF(BI41="NA","NA",SUM(AD42:AP42)/SUM($AD$4:$AP$4))</f>
        <v>0</v>
      </c>
      <c r="BJ42" s="4">
        <f>IF(BJ41="NA","NA",SUM(AQ42:BD42)/SUM($AQ$4:$BD$4))</f>
        <v>0</v>
      </c>
    </row>
    <row r="43" spans="2:62" x14ac:dyDescent="0.2">
      <c r="BG43" s="4"/>
    </row>
    <row r="44" spans="2:62" x14ac:dyDescent="0.2">
      <c r="B44" s="9"/>
      <c r="C44" t="s">
        <v>118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F44" t="s">
        <v>73</v>
      </c>
      <c r="BG44" s="4">
        <f>P44</f>
        <v>0</v>
      </c>
      <c r="BH44" s="4">
        <f>AC44</f>
        <v>0</v>
      </c>
      <c r="BI44" s="4">
        <f>AP44</f>
        <v>0</v>
      </c>
      <c r="BJ44" s="4">
        <f>BD44</f>
        <v>0</v>
      </c>
    </row>
    <row r="45" spans="2:62" x14ac:dyDescent="0.2">
      <c r="B45" s="9"/>
      <c r="C45" t="s">
        <v>119</v>
      </c>
      <c r="D45" s="1">
        <f t="shared" ref="D45:AI45" si="28">IF(D44&gt;=0.7,D$4,0)</f>
        <v>0</v>
      </c>
      <c r="E45" s="1">
        <f t="shared" si="28"/>
        <v>0</v>
      </c>
      <c r="F45" s="1">
        <f t="shared" si="28"/>
        <v>0</v>
      </c>
      <c r="G45" s="1">
        <f t="shared" si="28"/>
        <v>0</v>
      </c>
      <c r="H45" s="1">
        <f t="shared" si="28"/>
        <v>0</v>
      </c>
      <c r="I45" s="1">
        <f t="shared" si="28"/>
        <v>0</v>
      </c>
      <c r="J45" s="1">
        <f t="shared" si="28"/>
        <v>0</v>
      </c>
      <c r="K45" s="1">
        <f t="shared" si="28"/>
        <v>0</v>
      </c>
      <c r="L45" s="1">
        <f t="shared" si="28"/>
        <v>0</v>
      </c>
      <c r="M45" s="1">
        <f t="shared" si="28"/>
        <v>0</v>
      </c>
      <c r="N45" s="1">
        <f t="shared" si="28"/>
        <v>0</v>
      </c>
      <c r="O45" s="1">
        <f t="shared" si="28"/>
        <v>0</v>
      </c>
      <c r="P45" s="1">
        <f t="shared" si="28"/>
        <v>0</v>
      </c>
      <c r="Q45" s="1">
        <f t="shared" si="28"/>
        <v>0</v>
      </c>
      <c r="R45" s="1">
        <f t="shared" si="28"/>
        <v>0</v>
      </c>
      <c r="S45" s="1">
        <f t="shared" si="28"/>
        <v>0</v>
      </c>
      <c r="T45" s="1">
        <f t="shared" si="28"/>
        <v>0</v>
      </c>
      <c r="U45" s="1">
        <f t="shared" si="28"/>
        <v>0</v>
      </c>
      <c r="V45" s="1">
        <f t="shared" si="28"/>
        <v>0</v>
      </c>
      <c r="W45" s="1">
        <f t="shared" si="28"/>
        <v>0</v>
      </c>
      <c r="X45" s="1">
        <f t="shared" si="28"/>
        <v>0</v>
      </c>
      <c r="Y45" s="1">
        <f t="shared" si="28"/>
        <v>0</v>
      </c>
      <c r="Z45" s="1">
        <f t="shared" si="28"/>
        <v>0</v>
      </c>
      <c r="AA45" s="1">
        <f t="shared" si="28"/>
        <v>0</v>
      </c>
      <c r="AB45" s="1">
        <f t="shared" si="28"/>
        <v>0</v>
      </c>
      <c r="AC45" s="1">
        <f t="shared" si="28"/>
        <v>0</v>
      </c>
      <c r="AD45" s="1">
        <f t="shared" si="28"/>
        <v>0</v>
      </c>
      <c r="AE45" s="1">
        <f t="shared" si="28"/>
        <v>0</v>
      </c>
      <c r="AF45" s="1">
        <f t="shared" si="28"/>
        <v>0</v>
      </c>
      <c r="AG45" s="1">
        <f t="shared" si="28"/>
        <v>0</v>
      </c>
      <c r="AH45" s="1">
        <f t="shared" si="28"/>
        <v>0</v>
      </c>
      <c r="AI45" s="1">
        <f t="shared" si="28"/>
        <v>0</v>
      </c>
      <c r="AJ45" s="1">
        <f t="shared" ref="AJ45:BO45" si="29">IF(AJ44&gt;=0.7,AJ$4,0)</f>
        <v>0</v>
      </c>
      <c r="AK45" s="1">
        <f t="shared" si="29"/>
        <v>0</v>
      </c>
      <c r="AL45" s="1">
        <f t="shared" si="29"/>
        <v>0</v>
      </c>
      <c r="AM45" s="1">
        <f t="shared" si="29"/>
        <v>0</v>
      </c>
      <c r="AN45" s="1">
        <f t="shared" si="29"/>
        <v>0</v>
      </c>
      <c r="AO45" s="1">
        <f t="shared" si="29"/>
        <v>0</v>
      </c>
      <c r="AP45" s="1">
        <f t="shared" si="29"/>
        <v>0</v>
      </c>
      <c r="AQ45" s="1">
        <f t="shared" si="29"/>
        <v>0</v>
      </c>
      <c r="AR45" s="1">
        <f t="shared" si="29"/>
        <v>0</v>
      </c>
      <c r="AS45" s="1">
        <f t="shared" si="29"/>
        <v>0</v>
      </c>
      <c r="AT45" s="1">
        <f t="shared" si="29"/>
        <v>0</v>
      </c>
      <c r="AU45" s="1">
        <f t="shared" si="29"/>
        <v>0</v>
      </c>
      <c r="AV45" s="1">
        <f t="shared" si="29"/>
        <v>0</v>
      </c>
      <c r="AW45" s="1">
        <f t="shared" si="29"/>
        <v>0</v>
      </c>
      <c r="AX45" s="1">
        <f t="shared" si="29"/>
        <v>0</v>
      </c>
      <c r="AY45" s="1">
        <f t="shared" si="29"/>
        <v>0</v>
      </c>
      <c r="AZ45" s="1">
        <f t="shared" si="29"/>
        <v>0</v>
      </c>
      <c r="BA45" s="1">
        <f t="shared" si="29"/>
        <v>0</v>
      </c>
      <c r="BB45" s="1">
        <f t="shared" si="29"/>
        <v>0</v>
      </c>
      <c r="BC45" s="1">
        <f t="shared" si="29"/>
        <v>0</v>
      </c>
      <c r="BD45" s="1">
        <f t="shared" si="29"/>
        <v>0</v>
      </c>
      <c r="BF45" t="s">
        <v>74</v>
      </c>
      <c r="BG45" s="4">
        <f>IF(BG44="NA","NA",SUM(D45:P45)/SUM($D$4:$P$4))</f>
        <v>0</v>
      </c>
      <c r="BH45" s="4">
        <f>IF(BH44="NA","NA",SUM(R45:AC45)/SUM($R$4:$AC$4))</f>
        <v>0</v>
      </c>
      <c r="BI45" s="4">
        <f>IF(BI44="NA","NA",SUM(AD45:AP45)/SUM($AD$4:$AP$4))</f>
        <v>0</v>
      </c>
      <c r="BJ45" s="4">
        <f>IF(BJ44="NA","NA",SUM(AQ45:BD45)/SUM($AQ$4:$BD$4))</f>
        <v>0</v>
      </c>
    </row>
    <row r="46" spans="2:62" x14ac:dyDescent="0.2">
      <c r="BG46" s="4"/>
    </row>
    <row r="47" spans="2:62" x14ac:dyDescent="0.2">
      <c r="B47" s="9"/>
      <c r="C47" t="s">
        <v>120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F47" t="s">
        <v>75</v>
      </c>
      <c r="BG47" s="4">
        <f>P47</f>
        <v>0</v>
      </c>
      <c r="BH47" s="4">
        <f>AC47</f>
        <v>0</v>
      </c>
      <c r="BI47" s="4">
        <f>AP47</f>
        <v>0</v>
      </c>
      <c r="BJ47" s="4">
        <f>BD47</f>
        <v>0</v>
      </c>
    </row>
    <row r="48" spans="2:62" x14ac:dyDescent="0.2">
      <c r="B48" s="9"/>
      <c r="C48" t="s">
        <v>121</v>
      </c>
      <c r="D48" s="1">
        <f t="shared" ref="D48:AI48" si="30">IF(D47&gt;=0.7,D$4,0)</f>
        <v>0</v>
      </c>
      <c r="E48" s="1">
        <f t="shared" si="30"/>
        <v>0</v>
      </c>
      <c r="F48" s="1">
        <f t="shared" si="30"/>
        <v>0</v>
      </c>
      <c r="G48" s="1">
        <f t="shared" si="30"/>
        <v>0</v>
      </c>
      <c r="H48" s="1">
        <f t="shared" si="30"/>
        <v>0</v>
      </c>
      <c r="I48" s="1">
        <f t="shared" si="30"/>
        <v>0</v>
      </c>
      <c r="J48" s="1">
        <f t="shared" si="30"/>
        <v>0</v>
      </c>
      <c r="K48" s="1">
        <f t="shared" si="30"/>
        <v>0</v>
      </c>
      <c r="L48" s="1">
        <f t="shared" si="30"/>
        <v>0</v>
      </c>
      <c r="M48" s="1">
        <f t="shared" si="30"/>
        <v>0</v>
      </c>
      <c r="N48" s="1">
        <f t="shared" si="30"/>
        <v>0</v>
      </c>
      <c r="O48" s="1">
        <f t="shared" si="30"/>
        <v>0</v>
      </c>
      <c r="P48" s="1">
        <f t="shared" si="30"/>
        <v>0</v>
      </c>
      <c r="Q48" s="1">
        <f t="shared" si="30"/>
        <v>0</v>
      </c>
      <c r="R48" s="1">
        <f t="shared" si="30"/>
        <v>0</v>
      </c>
      <c r="S48" s="1">
        <f t="shared" si="30"/>
        <v>0</v>
      </c>
      <c r="T48" s="1">
        <f t="shared" si="30"/>
        <v>0</v>
      </c>
      <c r="U48" s="1">
        <f t="shared" si="30"/>
        <v>0</v>
      </c>
      <c r="V48" s="1">
        <f t="shared" si="30"/>
        <v>0</v>
      </c>
      <c r="W48" s="1">
        <f t="shared" si="30"/>
        <v>0</v>
      </c>
      <c r="X48" s="1">
        <f t="shared" si="30"/>
        <v>0</v>
      </c>
      <c r="Y48" s="1">
        <f t="shared" si="30"/>
        <v>0</v>
      </c>
      <c r="Z48" s="1">
        <f t="shared" si="30"/>
        <v>0</v>
      </c>
      <c r="AA48" s="1">
        <f t="shared" si="30"/>
        <v>0</v>
      </c>
      <c r="AB48" s="1">
        <f t="shared" si="30"/>
        <v>0</v>
      </c>
      <c r="AC48" s="1">
        <f t="shared" si="30"/>
        <v>0</v>
      </c>
      <c r="AD48" s="1">
        <f t="shared" si="30"/>
        <v>0</v>
      </c>
      <c r="AE48" s="1">
        <f t="shared" si="30"/>
        <v>0</v>
      </c>
      <c r="AF48" s="1">
        <f t="shared" si="30"/>
        <v>0</v>
      </c>
      <c r="AG48" s="1">
        <f t="shared" si="30"/>
        <v>0</v>
      </c>
      <c r="AH48" s="1">
        <f t="shared" si="30"/>
        <v>0</v>
      </c>
      <c r="AI48" s="1">
        <f t="shared" si="30"/>
        <v>0</v>
      </c>
      <c r="AJ48" s="1">
        <f t="shared" ref="AJ48:BO48" si="31">IF(AJ47&gt;=0.7,AJ$4,0)</f>
        <v>0</v>
      </c>
      <c r="AK48" s="1">
        <f t="shared" si="31"/>
        <v>0</v>
      </c>
      <c r="AL48" s="1">
        <f t="shared" si="31"/>
        <v>0</v>
      </c>
      <c r="AM48" s="1">
        <f t="shared" si="31"/>
        <v>0</v>
      </c>
      <c r="AN48" s="1">
        <f t="shared" si="31"/>
        <v>0</v>
      </c>
      <c r="AO48" s="1">
        <f t="shared" si="31"/>
        <v>0</v>
      </c>
      <c r="AP48" s="1">
        <f t="shared" si="31"/>
        <v>0</v>
      </c>
      <c r="AQ48" s="1">
        <f t="shared" si="31"/>
        <v>0</v>
      </c>
      <c r="AR48" s="1">
        <f t="shared" si="31"/>
        <v>0</v>
      </c>
      <c r="AS48" s="1">
        <f t="shared" si="31"/>
        <v>0</v>
      </c>
      <c r="AT48" s="1">
        <f t="shared" si="31"/>
        <v>0</v>
      </c>
      <c r="AU48" s="1">
        <f t="shared" si="31"/>
        <v>0</v>
      </c>
      <c r="AV48" s="1">
        <f t="shared" si="31"/>
        <v>0</v>
      </c>
      <c r="AW48" s="1">
        <f t="shared" si="31"/>
        <v>0</v>
      </c>
      <c r="AX48" s="1">
        <f t="shared" si="31"/>
        <v>0</v>
      </c>
      <c r="AY48" s="1">
        <f t="shared" si="31"/>
        <v>0</v>
      </c>
      <c r="AZ48" s="1">
        <f t="shared" si="31"/>
        <v>0</v>
      </c>
      <c r="BA48" s="1">
        <f t="shared" si="31"/>
        <v>0</v>
      </c>
      <c r="BB48" s="1">
        <f t="shared" si="31"/>
        <v>0</v>
      </c>
      <c r="BC48" s="1">
        <f t="shared" si="31"/>
        <v>0</v>
      </c>
      <c r="BD48" s="1">
        <f t="shared" si="31"/>
        <v>0</v>
      </c>
      <c r="BF48" t="s">
        <v>76</v>
      </c>
      <c r="BG48" s="4">
        <f>IF(BG47="NA","NA",SUM(D48:P48)/SUM($D$4:$P$4))</f>
        <v>0</v>
      </c>
      <c r="BH48" s="4">
        <f>IF(BH47="NA","NA",SUM(R48:AC48)/SUM($R$4:$AC$4))</f>
        <v>0</v>
      </c>
      <c r="BI48" s="4">
        <f>IF(BI47="NA","NA",SUM(AD48:AP48)/SUM($AD$4:$AP$4))</f>
        <v>0</v>
      </c>
      <c r="BJ48" s="4">
        <f>IF(BJ47="NA","NA",SUM(AQ48:BD48)/SUM($AQ$4:$BD$4))</f>
        <v>0</v>
      </c>
    </row>
    <row r="49" spans="2:62" x14ac:dyDescent="0.2">
      <c r="BG49" s="4"/>
    </row>
    <row r="50" spans="2:62" x14ac:dyDescent="0.2">
      <c r="B50" s="9"/>
      <c r="C50" t="s">
        <v>122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F50" t="s">
        <v>77</v>
      </c>
      <c r="BG50" s="4">
        <f>P50</f>
        <v>0</v>
      </c>
      <c r="BH50" s="4">
        <f>AC50</f>
        <v>0</v>
      </c>
      <c r="BI50" s="4">
        <f>AP50</f>
        <v>0</v>
      </c>
      <c r="BJ50" s="4">
        <f>BD50</f>
        <v>0</v>
      </c>
    </row>
    <row r="51" spans="2:62" x14ac:dyDescent="0.2">
      <c r="B51" s="9"/>
      <c r="C51" t="s">
        <v>123</v>
      </c>
      <c r="D51" s="1">
        <f t="shared" ref="D51:AI51" si="32">IF(D50&gt;=0.7,D$4,0)</f>
        <v>0</v>
      </c>
      <c r="E51" s="1">
        <f t="shared" si="32"/>
        <v>0</v>
      </c>
      <c r="F51" s="1">
        <f t="shared" si="32"/>
        <v>0</v>
      </c>
      <c r="G51" s="1">
        <f t="shared" si="32"/>
        <v>0</v>
      </c>
      <c r="H51" s="1">
        <f t="shared" si="32"/>
        <v>0</v>
      </c>
      <c r="I51" s="1">
        <f t="shared" si="32"/>
        <v>0</v>
      </c>
      <c r="J51" s="1">
        <f t="shared" si="32"/>
        <v>0</v>
      </c>
      <c r="K51" s="1">
        <f t="shared" si="32"/>
        <v>0</v>
      </c>
      <c r="L51" s="1">
        <f t="shared" si="32"/>
        <v>0</v>
      </c>
      <c r="M51" s="1">
        <f t="shared" si="32"/>
        <v>0</v>
      </c>
      <c r="N51" s="1">
        <f t="shared" si="32"/>
        <v>0</v>
      </c>
      <c r="O51" s="1">
        <f t="shared" si="32"/>
        <v>0</v>
      </c>
      <c r="P51" s="1">
        <f t="shared" si="32"/>
        <v>0</v>
      </c>
      <c r="Q51" s="1">
        <f t="shared" si="32"/>
        <v>0</v>
      </c>
      <c r="R51" s="1">
        <f t="shared" si="32"/>
        <v>0</v>
      </c>
      <c r="S51" s="1">
        <f t="shared" si="32"/>
        <v>0</v>
      </c>
      <c r="T51" s="1">
        <f t="shared" si="32"/>
        <v>0</v>
      </c>
      <c r="U51" s="1">
        <f t="shared" si="32"/>
        <v>0</v>
      </c>
      <c r="V51" s="1">
        <f t="shared" si="32"/>
        <v>0</v>
      </c>
      <c r="W51" s="1">
        <f t="shared" si="32"/>
        <v>0</v>
      </c>
      <c r="X51" s="1">
        <f t="shared" si="32"/>
        <v>0</v>
      </c>
      <c r="Y51" s="1">
        <f t="shared" si="32"/>
        <v>0</v>
      </c>
      <c r="Z51" s="1">
        <f t="shared" si="32"/>
        <v>0</v>
      </c>
      <c r="AA51" s="1">
        <f t="shared" si="32"/>
        <v>0</v>
      </c>
      <c r="AB51" s="1">
        <f t="shared" si="32"/>
        <v>0</v>
      </c>
      <c r="AC51" s="1">
        <f t="shared" si="32"/>
        <v>0</v>
      </c>
      <c r="AD51" s="1">
        <f t="shared" si="32"/>
        <v>0</v>
      </c>
      <c r="AE51" s="1">
        <f t="shared" si="32"/>
        <v>0</v>
      </c>
      <c r="AF51" s="1">
        <f t="shared" si="32"/>
        <v>0</v>
      </c>
      <c r="AG51" s="1">
        <f t="shared" si="32"/>
        <v>0</v>
      </c>
      <c r="AH51" s="1">
        <f t="shared" si="32"/>
        <v>0</v>
      </c>
      <c r="AI51" s="1">
        <f t="shared" si="32"/>
        <v>0</v>
      </c>
      <c r="AJ51" s="1">
        <f t="shared" ref="AJ51:BO51" si="33">IF(AJ50&gt;=0.7,AJ$4,0)</f>
        <v>0</v>
      </c>
      <c r="AK51" s="1">
        <f t="shared" si="33"/>
        <v>0</v>
      </c>
      <c r="AL51" s="1">
        <f t="shared" si="33"/>
        <v>0</v>
      </c>
      <c r="AM51" s="1">
        <f t="shared" si="33"/>
        <v>0</v>
      </c>
      <c r="AN51" s="1">
        <f t="shared" si="33"/>
        <v>0</v>
      </c>
      <c r="AO51" s="1">
        <f t="shared" si="33"/>
        <v>0</v>
      </c>
      <c r="AP51" s="1">
        <f t="shared" si="33"/>
        <v>0</v>
      </c>
      <c r="AQ51" s="1">
        <f t="shared" si="33"/>
        <v>0</v>
      </c>
      <c r="AR51" s="1">
        <f t="shared" si="33"/>
        <v>0</v>
      </c>
      <c r="AS51" s="1">
        <f t="shared" si="33"/>
        <v>0</v>
      </c>
      <c r="AT51" s="1">
        <f t="shared" si="33"/>
        <v>0</v>
      </c>
      <c r="AU51" s="1">
        <f t="shared" si="33"/>
        <v>0</v>
      </c>
      <c r="AV51" s="1">
        <f t="shared" si="33"/>
        <v>0</v>
      </c>
      <c r="AW51" s="1">
        <f t="shared" si="33"/>
        <v>0</v>
      </c>
      <c r="AX51" s="1">
        <f t="shared" si="33"/>
        <v>0</v>
      </c>
      <c r="AY51" s="1">
        <f t="shared" si="33"/>
        <v>0</v>
      </c>
      <c r="AZ51" s="1">
        <f t="shared" si="33"/>
        <v>0</v>
      </c>
      <c r="BA51" s="1">
        <f t="shared" si="33"/>
        <v>0</v>
      </c>
      <c r="BB51" s="1">
        <f t="shared" si="33"/>
        <v>0</v>
      </c>
      <c r="BC51" s="1">
        <f t="shared" si="33"/>
        <v>0</v>
      </c>
      <c r="BD51" s="1">
        <f t="shared" si="33"/>
        <v>0</v>
      </c>
      <c r="BF51" t="s">
        <v>78</v>
      </c>
      <c r="BG51" s="4">
        <f>IF(BG50="NA","NA",SUM(D51:P51)/SUM($D$4:$P$4))</f>
        <v>0</v>
      </c>
      <c r="BH51" s="4">
        <f>IF(BH50="NA","NA",SUM(R51:AC51)/SUM($R$4:$AC$4))</f>
        <v>0</v>
      </c>
      <c r="BI51" s="4">
        <f>IF(BI50="NA","NA",SUM(AD51:AP51)/SUM($AD$4:$AP$4))</f>
        <v>0</v>
      </c>
      <c r="BJ51" s="4">
        <f>IF(BJ50="NA","NA",SUM(AQ51:BD51)/SUM($AQ$4:$BD$4))</f>
        <v>0</v>
      </c>
    </row>
    <row r="52" spans="2:62" x14ac:dyDescent="0.2">
      <c r="BG52" s="4"/>
    </row>
    <row r="53" spans="2:62" x14ac:dyDescent="0.2">
      <c r="C53" t="s">
        <v>124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F53" t="s">
        <v>79</v>
      </c>
      <c r="BG53" s="4">
        <f>P53</f>
        <v>0</v>
      </c>
      <c r="BH53" s="4">
        <f>AC53</f>
        <v>0</v>
      </c>
      <c r="BI53" s="4">
        <f>AP53</f>
        <v>0</v>
      </c>
      <c r="BJ53" s="4">
        <f>BD53</f>
        <v>0</v>
      </c>
    </row>
    <row r="54" spans="2:62" x14ac:dyDescent="0.2">
      <c r="C54" t="s">
        <v>125</v>
      </c>
      <c r="D54" s="1">
        <f t="shared" ref="D54:AI54" si="34">IF(D53&gt;=0.7,D$4,0)</f>
        <v>0</v>
      </c>
      <c r="E54" s="1">
        <f t="shared" si="34"/>
        <v>0</v>
      </c>
      <c r="F54" s="1">
        <f t="shared" si="34"/>
        <v>0</v>
      </c>
      <c r="G54" s="1">
        <f t="shared" si="34"/>
        <v>0</v>
      </c>
      <c r="H54" s="1">
        <f t="shared" si="34"/>
        <v>0</v>
      </c>
      <c r="I54" s="1">
        <f t="shared" si="34"/>
        <v>0</v>
      </c>
      <c r="J54" s="1">
        <f t="shared" si="34"/>
        <v>0</v>
      </c>
      <c r="K54" s="1">
        <f t="shared" si="34"/>
        <v>0</v>
      </c>
      <c r="L54" s="1">
        <f t="shared" si="34"/>
        <v>0</v>
      </c>
      <c r="M54" s="1">
        <f t="shared" si="34"/>
        <v>0</v>
      </c>
      <c r="N54" s="1">
        <f t="shared" si="34"/>
        <v>0</v>
      </c>
      <c r="O54" s="1">
        <f t="shared" si="34"/>
        <v>0</v>
      </c>
      <c r="P54" s="1">
        <f t="shared" si="34"/>
        <v>0</v>
      </c>
      <c r="Q54" s="1">
        <f t="shared" si="34"/>
        <v>0</v>
      </c>
      <c r="R54" s="1">
        <f t="shared" si="34"/>
        <v>0</v>
      </c>
      <c r="S54" s="1">
        <f t="shared" si="34"/>
        <v>0</v>
      </c>
      <c r="T54" s="1">
        <f t="shared" si="34"/>
        <v>0</v>
      </c>
      <c r="U54" s="1">
        <f t="shared" si="34"/>
        <v>0</v>
      </c>
      <c r="V54" s="1">
        <f t="shared" si="34"/>
        <v>0</v>
      </c>
      <c r="W54" s="1">
        <f t="shared" si="34"/>
        <v>0</v>
      </c>
      <c r="X54" s="1">
        <f t="shared" si="34"/>
        <v>0</v>
      </c>
      <c r="Y54" s="1">
        <f t="shared" si="34"/>
        <v>0</v>
      </c>
      <c r="Z54" s="1">
        <f t="shared" si="34"/>
        <v>0</v>
      </c>
      <c r="AA54" s="1">
        <f t="shared" si="34"/>
        <v>0</v>
      </c>
      <c r="AB54" s="1">
        <f t="shared" si="34"/>
        <v>0</v>
      </c>
      <c r="AC54" s="1">
        <f t="shared" si="34"/>
        <v>0</v>
      </c>
      <c r="AD54" s="1">
        <f t="shared" si="34"/>
        <v>0</v>
      </c>
      <c r="AE54" s="1">
        <f t="shared" si="34"/>
        <v>0</v>
      </c>
      <c r="AF54" s="1">
        <f t="shared" si="34"/>
        <v>0</v>
      </c>
      <c r="AG54" s="1">
        <f t="shared" si="34"/>
        <v>0</v>
      </c>
      <c r="AH54" s="1">
        <f t="shared" si="34"/>
        <v>0</v>
      </c>
      <c r="AI54" s="1">
        <f t="shared" si="34"/>
        <v>0</v>
      </c>
      <c r="AJ54" s="1">
        <f t="shared" ref="AJ54:BO54" si="35">IF(AJ53&gt;=0.7,AJ$4,0)</f>
        <v>0</v>
      </c>
      <c r="AK54" s="1">
        <f t="shared" si="35"/>
        <v>0</v>
      </c>
      <c r="AL54" s="1">
        <f t="shared" si="35"/>
        <v>0</v>
      </c>
      <c r="AM54" s="1">
        <f t="shared" si="35"/>
        <v>0</v>
      </c>
      <c r="AN54" s="1">
        <f t="shared" si="35"/>
        <v>0</v>
      </c>
      <c r="AO54" s="1">
        <f t="shared" si="35"/>
        <v>0</v>
      </c>
      <c r="AP54" s="1">
        <f t="shared" si="35"/>
        <v>0</v>
      </c>
      <c r="AQ54" s="1">
        <f t="shared" si="35"/>
        <v>0</v>
      </c>
      <c r="AR54" s="1">
        <f t="shared" si="35"/>
        <v>0</v>
      </c>
      <c r="AS54" s="1">
        <f t="shared" si="35"/>
        <v>0</v>
      </c>
      <c r="AT54" s="1">
        <f t="shared" si="35"/>
        <v>0</v>
      </c>
      <c r="AU54" s="1">
        <f t="shared" si="35"/>
        <v>0</v>
      </c>
      <c r="AV54" s="1">
        <f t="shared" si="35"/>
        <v>0</v>
      </c>
      <c r="AW54" s="1">
        <f t="shared" si="35"/>
        <v>0</v>
      </c>
      <c r="AX54" s="1">
        <f t="shared" si="35"/>
        <v>0</v>
      </c>
      <c r="AY54" s="1">
        <f t="shared" si="35"/>
        <v>0</v>
      </c>
      <c r="AZ54" s="1">
        <f t="shared" si="35"/>
        <v>0</v>
      </c>
      <c r="BA54" s="1">
        <f t="shared" si="35"/>
        <v>0</v>
      </c>
      <c r="BB54" s="1">
        <f t="shared" si="35"/>
        <v>0</v>
      </c>
      <c r="BC54" s="1">
        <f t="shared" si="35"/>
        <v>0</v>
      </c>
      <c r="BD54" s="1">
        <f t="shared" si="35"/>
        <v>0</v>
      </c>
      <c r="BF54" t="s">
        <v>80</v>
      </c>
      <c r="BG54" s="4">
        <f>IF(BG53="NA","NA",SUM(D54:P54)/SUM($D$4:$P$4))</f>
        <v>0</v>
      </c>
      <c r="BH54" s="4">
        <f>IF(BH53="NA","NA",SUM(R54:AC54)/SUM($R$4:$AC$4))</f>
        <v>0</v>
      </c>
      <c r="BI54" s="4">
        <f>IF(BI53="NA","NA",SUM(AD54:AP54)/SUM($AD$4:$AP$4))</f>
        <v>0</v>
      </c>
      <c r="BJ54" s="4">
        <f>IF(BJ53="NA","NA",SUM(AQ54:BD54)/SUM($AQ$4:$BD$4))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M38"/>
  <sheetViews>
    <sheetView tabSelected="1" topLeftCell="AC1" workbookViewId="0">
      <selection activeCell="AV43" sqref="AV43"/>
    </sheetView>
  </sheetViews>
  <sheetFormatPr baseColWidth="10" defaultColWidth="8.83203125" defaultRowHeight="15" x14ac:dyDescent="0.2"/>
  <cols>
    <col min="1" max="1" width="14.1640625" customWidth="1"/>
    <col min="2" max="2" width="20.6640625" bestFit="1" customWidth="1"/>
    <col min="3" max="3" width="41.6640625" bestFit="1" customWidth="1"/>
    <col min="4" max="7" width="9.33203125" bestFit="1" customWidth="1"/>
    <col min="8" max="11" width="9.83203125" bestFit="1" customWidth="1"/>
    <col min="12" max="16" width="9.6640625" bestFit="1" customWidth="1"/>
    <col min="17" max="20" width="9.33203125" bestFit="1" customWidth="1"/>
    <col min="21" max="24" width="9.6640625" bestFit="1" customWidth="1"/>
    <col min="25" max="29" width="9.83203125" bestFit="1" customWidth="1"/>
    <col min="30" max="33" width="9.33203125" bestFit="1" customWidth="1"/>
    <col min="34" max="37" width="10" bestFit="1" customWidth="1"/>
    <col min="38" max="42" width="9.33203125" bestFit="1" customWidth="1"/>
    <col min="43" max="46" width="8.83203125" bestFit="1" customWidth="1"/>
    <col min="47" max="55" width="9.6640625" bestFit="1" customWidth="1"/>
    <col min="56" max="56" width="9.33203125" bestFit="1" customWidth="1"/>
    <col min="58" max="58" width="31" bestFit="1" customWidth="1"/>
    <col min="59" max="62" width="9.33203125" bestFit="1" customWidth="1"/>
    <col min="63" max="66" width="9.83203125" bestFit="1" customWidth="1"/>
    <col min="67" max="71" width="9.6640625" bestFit="1" customWidth="1"/>
    <col min="72" max="75" width="9.33203125" bestFit="1" customWidth="1"/>
    <col min="76" max="79" width="9.6640625" bestFit="1" customWidth="1"/>
    <col min="80" max="84" width="9.83203125" bestFit="1" customWidth="1"/>
    <col min="85" max="88" width="9.33203125" bestFit="1" customWidth="1"/>
    <col min="89" max="92" width="10" bestFit="1" customWidth="1"/>
    <col min="93" max="97" width="9.33203125" bestFit="1" customWidth="1"/>
    <col min="98" max="101" width="8.83203125" bestFit="1" customWidth="1"/>
    <col min="102" max="111" width="9.6640625" bestFit="1" customWidth="1"/>
    <col min="113" max="113" width="31" bestFit="1" customWidth="1"/>
  </cols>
  <sheetData>
    <row r="1" spans="1:117" x14ac:dyDescent="0.2">
      <c r="A1" s="9" t="s">
        <v>0</v>
      </c>
      <c r="B1" s="9"/>
      <c r="C1" s="9"/>
    </row>
    <row r="2" spans="1:117" x14ac:dyDescent="0.2">
      <c r="A2" s="9"/>
      <c r="B2" s="9"/>
      <c r="C2" s="9"/>
    </row>
    <row r="3" spans="1:117" x14ac:dyDescent="0.2">
      <c r="A3" s="9" t="s">
        <v>1</v>
      </c>
      <c r="B3" s="18">
        <v>45931</v>
      </c>
      <c r="C3" s="16" t="s">
        <v>2</v>
      </c>
      <c r="D3" s="18">
        <v>45936</v>
      </c>
      <c r="E3" s="18">
        <f t="shared" ref="E3:AJ3" si="0">D3+7</f>
        <v>45943</v>
      </c>
      <c r="F3" s="18">
        <f t="shared" si="0"/>
        <v>45950</v>
      </c>
      <c r="G3" s="18">
        <f t="shared" si="0"/>
        <v>45957</v>
      </c>
      <c r="H3" s="18">
        <f t="shared" si="0"/>
        <v>45964</v>
      </c>
      <c r="I3" s="18">
        <f t="shared" si="0"/>
        <v>45971</v>
      </c>
      <c r="J3" s="18">
        <f t="shared" si="0"/>
        <v>45978</v>
      </c>
      <c r="K3" s="18">
        <f t="shared" si="0"/>
        <v>45985</v>
      </c>
      <c r="L3" s="18">
        <f t="shared" si="0"/>
        <v>45992</v>
      </c>
      <c r="M3" s="18">
        <f t="shared" si="0"/>
        <v>45999</v>
      </c>
      <c r="N3" s="18">
        <f t="shared" si="0"/>
        <v>46006</v>
      </c>
      <c r="O3" s="18">
        <f t="shared" si="0"/>
        <v>46013</v>
      </c>
      <c r="P3" s="18">
        <f t="shared" si="0"/>
        <v>46020</v>
      </c>
      <c r="Q3" s="18">
        <f t="shared" si="0"/>
        <v>46027</v>
      </c>
      <c r="R3" s="18">
        <f t="shared" si="0"/>
        <v>46034</v>
      </c>
      <c r="S3" s="18">
        <f t="shared" si="0"/>
        <v>46041</v>
      </c>
      <c r="T3" s="18">
        <f t="shared" si="0"/>
        <v>46048</v>
      </c>
      <c r="U3" s="18">
        <f t="shared" si="0"/>
        <v>46055</v>
      </c>
      <c r="V3" s="18">
        <f t="shared" si="0"/>
        <v>46062</v>
      </c>
      <c r="W3" s="18">
        <f t="shared" si="0"/>
        <v>46069</v>
      </c>
      <c r="X3" s="18">
        <f t="shared" si="0"/>
        <v>46076</v>
      </c>
      <c r="Y3" s="18">
        <f t="shared" si="0"/>
        <v>46083</v>
      </c>
      <c r="Z3" s="18">
        <f t="shared" si="0"/>
        <v>46090</v>
      </c>
      <c r="AA3" s="18">
        <f t="shared" si="0"/>
        <v>46097</v>
      </c>
      <c r="AB3" s="18">
        <f t="shared" si="0"/>
        <v>46104</v>
      </c>
      <c r="AC3" s="18">
        <f t="shared" si="0"/>
        <v>46111</v>
      </c>
      <c r="AD3" s="18">
        <f t="shared" si="0"/>
        <v>46118</v>
      </c>
      <c r="AE3" s="18">
        <f t="shared" si="0"/>
        <v>46125</v>
      </c>
      <c r="AF3" s="18">
        <f t="shared" si="0"/>
        <v>46132</v>
      </c>
      <c r="AG3" s="18">
        <f t="shared" si="0"/>
        <v>46139</v>
      </c>
      <c r="AH3" s="18">
        <f t="shared" si="0"/>
        <v>46146</v>
      </c>
      <c r="AI3" s="18">
        <f t="shared" si="0"/>
        <v>46153</v>
      </c>
      <c r="AJ3" s="18">
        <f t="shared" si="0"/>
        <v>46160</v>
      </c>
      <c r="AK3" s="18">
        <f t="shared" ref="AK3:BC3" si="1">AJ3+7</f>
        <v>46167</v>
      </c>
      <c r="AL3" s="18">
        <f t="shared" si="1"/>
        <v>46174</v>
      </c>
      <c r="AM3" s="18">
        <f t="shared" si="1"/>
        <v>46181</v>
      </c>
      <c r="AN3" s="18">
        <f t="shared" si="1"/>
        <v>46188</v>
      </c>
      <c r="AO3" s="18">
        <f t="shared" si="1"/>
        <v>46195</v>
      </c>
      <c r="AP3" s="18">
        <f t="shared" si="1"/>
        <v>46202</v>
      </c>
      <c r="AQ3" s="18">
        <f t="shared" si="1"/>
        <v>46209</v>
      </c>
      <c r="AR3" s="18">
        <f t="shared" si="1"/>
        <v>46216</v>
      </c>
      <c r="AS3" s="18">
        <f t="shared" si="1"/>
        <v>46223</v>
      </c>
      <c r="AT3" s="18">
        <f t="shared" si="1"/>
        <v>46230</v>
      </c>
      <c r="AU3" s="18">
        <f t="shared" si="1"/>
        <v>46237</v>
      </c>
      <c r="AV3" s="18">
        <f t="shared" si="1"/>
        <v>46244</v>
      </c>
      <c r="AW3" s="18">
        <f t="shared" si="1"/>
        <v>46251</v>
      </c>
      <c r="AX3" s="18">
        <f t="shared" si="1"/>
        <v>46258</v>
      </c>
      <c r="AY3" s="18">
        <f t="shared" si="1"/>
        <v>46265</v>
      </c>
      <c r="AZ3" s="18">
        <f t="shared" si="1"/>
        <v>46272</v>
      </c>
      <c r="BA3" s="18">
        <f t="shared" si="1"/>
        <v>46279</v>
      </c>
      <c r="BB3" s="18">
        <f t="shared" si="1"/>
        <v>46286</v>
      </c>
      <c r="BC3" s="18">
        <f t="shared" si="1"/>
        <v>46293</v>
      </c>
      <c r="BD3" s="18">
        <v>46295</v>
      </c>
      <c r="BE3" s="9"/>
      <c r="BF3" s="16" t="s">
        <v>2</v>
      </c>
      <c r="BG3" s="18">
        <v>45936</v>
      </c>
      <c r="BH3" s="18">
        <f t="shared" ref="BH3:CM3" si="2">BG3+7</f>
        <v>45943</v>
      </c>
      <c r="BI3" s="18">
        <f t="shared" si="2"/>
        <v>45950</v>
      </c>
      <c r="BJ3" s="18">
        <f t="shared" si="2"/>
        <v>45957</v>
      </c>
      <c r="BK3" s="18">
        <f t="shared" si="2"/>
        <v>45964</v>
      </c>
      <c r="BL3" s="18">
        <f t="shared" si="2"/>
        <v>45971</v>
      </c>
      <c r="BM3" s="18">
        <f t="shared" si="2"/>
        <v>45978</v>
      </c>
      <c r="BN3" s="18">
        <f t="shared" si="2"/>
        <v>45985</v>
      </c>
      <c r="BO3" s="18">
        <f t="shared" si="2"/>
        <v>45992</v>
      </c>
      <c r="BP3" s="18">
        <f t="shared" si="2"/>
        <v>45999</v>
      </c>
      <c r="BQ3" s="18">
        <f t="shared" si="2"/>
        <v>46006</v>
      </c>
      <c r="BR3" s="18">
        <f t="shared" si="2"/>
        <v>46013</v>
      </c>
      <c r="BS3" s="18">
        <f t="shared" si="2"/>
        <v>46020</v>
      </c>
      <c r="BT3" s="18">
        <f t="shared" si="2"/>
        <v>46027</v>
      </c>
      <c r="BU3" s="18">
        <f t="shared" si="2"/>
        <v>46034</v>
      </c>
      <c r="BV3" s="18">
        <f t="shared" si="2"/>
        <v>46041</v>
      </c>
      <c r="BW3" s="18">
        <f t="shared" si="2"/>
        <v>46048</v>
      </c>
      <c r="BX3" s="18">
        <f t="shared" si="2"/>
        <v>46055</v>
      </c>
      <c r="BY3" s="18">
        <f t="shared" si="2"/>
        <v>46062</v>
      </c>
      <c r="BZ3" s="18">
        <f t="shared" si="2"/>
        <v>46069</v>
      </c>
      <c r="CA3" s="18">
        <f t="shared" si="2"/>
        <v>46076</v>
      </c>
      <c r="CB3" s="18">
        <f t="shared" si="2"/>
        <v>46083</v>
      </c>
      <c r="CC3" s="18">
        <f t="shared" si="2"/>
        <v>46090</v>
      </c>
      <c r="CD3" s="18">
        <f t="shared" si="2"/>
        <v>46097</v>
      </c>
      <c r="CE3" s="18">
        <f t="shared" si="2"/>
        <v>46104</v>
      </c>
      <c r="CF3" s="18">
        <f t="shared" si="2"/>
        <v>46111</v>
      </c>
      <c r="CG3" s="18">
        <f t="shared" si="2"/>
        <v>46118</v>
      </c>
      <c r="CH3" s="18">
        <f t="shared" si="2"/>
        <v>46125</v>
      </c>
      <c r="CI3" s="18">
        <f t="shared" si="2"/>
        <v>46132</v>
      </c>
      <c r="CJ3" s="18">
        <f t="shared" si="2"/>
        <v>46139</v>
      </c>
      <c r="CK3" s="18">
        <f t="shared" si="2"/>
        <v>46146</v>
      </c>
      <c r="CL3" s="18">
        <f t="shared" si="2"/>
        <v>46153</v>
      </c>
      <c r="CM3" s="18">
        <f t="shared" si="2"/>
        <v>46160</v>
      </c>
      <c r="CN3" s="18">
        <f t="shared" ref="CN3:DF3" si="3">CM3+7</f>
        <v>46167</v>
      </c>
      <c r="CO3" s="18">
        <f t="shared" si="3"/>
        <v>46174</v>
      </c>
      <c r="CP3" s="18">
        <f t="shared" si="3"/>
        <v>46181</v>
      </c>
      <c r="CQ3" s="18">
        <f t="shared" si="3"/>
        <v>46188</v>
      </c>
      <c r="CR3" s="18">
        <f t="shared" si="3"/>
        <v>46195</v>
      </c>
      <c r="CS3" s="18">
        <f t="shared" si="3"/>
        <v>46202</v>
      </c>
      <c r="CT3" s="18">
        <f t="shared" si="3"/>
        <v>46209</v>
      </c>
      <c r="CU3" s="18">
        <f t="shared" si="3"/>
        <v>46216</v>
      </c>
      <c r="CV3" s="18">
        <f t="shared" si="3"/>
        <v>46223</v>
      </c>
      <c r="CW3" s="18">
        <f t="shared" si="3"/>
        <v>46230</v>
      </c>
      <c r="CX3" s="18">
        <f t="shared" si="3"/>
        <v>46237</v>
      </c>
      <c r="CY3" s="18">
        <f t="shared" si="3"/>
        <v>46244</v>
      </c>
      <c r="CZ3" s="18">
        <f t="shared" si="3"/>
        <v>46251</v>
      </c>
      <c r="DA3" s="18">
        <f t="shared" si="3"/>
        <v>46258</v>
      </c>
      <c r="DB3" s="18">
        <f t="shared" si="3"/>
        <v>46265</v>
      </c>
      <c r="DC3" s="18">
        <f t="shared" si="3"/>
        <v>46272</v>
      </c>
      <c r="DD3" s="18">
        <f t="shared" si="3"/>
        <v>46279</v>
      </c>
      <c r="DE3" s="18">
        <f t="shared" si="3"/>
        <v>46286</v>
      </c>
      <c r="DF3" s="18">
        <f t="shared" si="3"/>
        <v>46293</v>
      </c>
      <c r="DG3" s="18">
        <v>46295</v>
      </c>
      <c r="DH3" s="9"/>
      <c r="DI3" s="9"/>
      <c r="DJ3" s="10" t="s">
        <v>3</v>
      </c>
      <c r="DK3" s="10" t="s">
        <v>4</v>
      </c>
      <c r="DL3" s="10" t="s">
        <v>5</v>
      </c>
      <c r="DM3" s="10" t="s">
        <v>6</v>
      </c>
    </row>
    <row r="4" spans="1:117" x14ac:dyDescent="0.2">
      <c r="A4" s="9"/>
      <c r="B4" s="10"/>
      <c r="C4" s="1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9"/>
      <c r="BF4" s="9"/>
      <c r="BG4" s="9">
        <v>6</v>
      </c>
      <c r="BH4" s="9">
        <v>13</v>
      </c>
      <c r="BI4" s="9">
        <v>20</v>
      </c>
      <c r="BJ4" s="9">
        <v>27</v>
      </c>
      <c r="BK4" s="9">
        <v>34</v>
      </c>
      <c r="BL4" s="9">
        <v>41</v>
      </c>
      <c r="BM4" s="9">
        <v>48</v>
      </c>
      <c r="BN4" s="9">
        <v>55</v>
      </c>
      <c r="BO4" s="9">
        <v>62</v>
      </c>
      <c r="BP4" s="9">
        <v>69</v>
      </c>
      <c r="BQ4" s="9">
        <v>76</v>
      </c>
      <c r="BR4" s="9">
        <v>83</v>
      </c>
      <c r="BS4" s="9">
        <v>90</v>
      </c>
      <c r="BT4" s="9">
        <v>97</v>
      </c>
      <c r="BU4" s="9">
        <v>104</v>
      </c>
      <c r="BV4" s="9">
        <v>111</v>
      </c>
      <c r="BW4" s="9">
        <v>118</v>
      </c>
      <c r="BX4" s="9">
        <v>125</v>
      </c>
      <c r="BY4" s="9">
        <v>132</v>
      </c>
      <c r="BZ4" s="9">
        <v>139</v>
      </c>
      <c r="CA4" s="9">
        <v>146</v>
      </c>
      <c r="CB4" s="9">
        <v>153</v>
      </c>
      <c r="CC4" s="9">
        <v>160</v>
      </c>
      <c r="CD4" s="9">
        <v>167</v>
      </c>
      <c r="CE4" s="9">
        <v>174</v>
      </c>
      <c r="CF4" s="9">
        <v>181</v>
      </c>
      <c r="CG4" s="9">
        <v>188</v>
      </c>
      <c r="CH4" s="9">
        <v>195</v>
      </c>
      <c r="CI4" s="9">
        <v>202</v>
      </c>
      <c r="CJ4" s="9">
        <v>209</v>
      </c>
      <c r="CK4" s="9">
        <v>216</v>
      </c>
      <c r="CL4" s="9">
        <v>223</v>
      </c>
      <c r="CM4" s="9">
        <v>230</v>
      </c>
      <c r="CN4" s="9">
        <v>237</v>
      </c>
      <c r="CO4" s="9">
        <v>244</v>
      </c>
      <c r="CP4" s="9">
        <v>251</v>
      </c>
      <c r="CQ4" s="9">
        <v>258</v>
      </c>
      <c r="CR4" s="9">
        <v>265</v>
      </c>
      <c r="CS4" s="9">
        <v>272</v>
      </c>
      <c r="CT4" s="9">
        <v>279</v>
      </c>
      <c r="CU4" s="9">
        <v>286</v>
      </c>
      <c r="CV4" s="9">
        <v>293</v>
      </c>
      <c r="CW4" s="9">
        <v>300</v>
      </c>
      <c r="CX4" s="9">
        <v>307</v>
      </c>
      <c r="CY4" s="9">
        <v>314</v>
      </c>
      <c r="CZ4" s="9">
        <v>321</v>
      </c>
      <c r="DA4" s="9">
        <v>328</v>
      </c>
      <c r="DB4" s="9">
        <v>335</v>
      </c>
      <c r="DC4" s="9">
        <v>342</v>
      </c>
      <c r="DD4" s="9">
        <v>349</v>
      </c>
      <c r="DE4" s="9">
        <v>356</v>
      </c>
      <c r="DF4" s="9">
        <v>363</v>
      </c>
      <c r="DG4" s="9">
        <v>365</v>
      </c>
      <c r="DH4" s="9"/>
      <c r="DI4" s="9"/>
      <c r="DJ4" s="9"/>
      <c r="DK4" s="9"/>
      <c r="DL4" s="9"/>
      <c r="DM4" s="9"/>
    </row>
    <row r="5" spans="1:117" x14ac:dyDescent="0.2">
      <c r="A5" s="9"/>
      <c r="B5" s="10"/>
      <c r="C5" s="10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</row>
    <row r="6" spans="1:117" x14ac:dyDescent="0.2">
      <c r="A6" s="9"/>
      <c r="B6" s="10"/>
      <c r="C6" s="10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 spans="1:117" x14ac:dyDescent="0.2">
      <c r="A7" s="9"/>
      <c r="B7" s="10" t="s">
        <v>7</v>
      </c>
      <c r="C7" s="10" t="s">
        <v>8</v>
      </c>
      <c r="BF7" s="1" t="s">
        <v>8</v>
      </c>
    </row>
    <row r="9" spans="1:117" x14ac:dyDescent="0.2">
      <c r="B9" s="9" t="s">
        <v>9</v>
      </c>
    </row>
    <row r="10" spans="1:117" x14ac:dyDescent="0.2">
      <c r="B10" s="9"/>
      <c r="C10" t="s">
        <v>10</v>
      </c>
      <c r="D10" s="7">
        <v>31</v>
      </c>
      <c r="E10" s="7">
        <v>31</v>
      </c>
      <c r="F10" s="7">
        <v>31</v>
      </c>
      <c r="G10" s="7">
        <v>31</v>
      </c>
      <c r="H10" s="7">
        <v>31</v>
      </c>
      <c r="I10" s="7">
        <v>31</v>
      </c>
      <c r="J10" s="7">
        <v>31</v>
      </c>
      <c r="K10" s="7">
        <v>31</v>
      </c>
      <c r="L10" s="7">
        <v>31</v>
      </c>
      <c r="M10" s="7">
        <v>31</v>
      </c>
      <c r="N10" s="7">
        <v>31</v>
      </c>
      <c r="O10" s="7">
        <v>31</v>
      </c>
      <c r="P10" s="7">
        <v>31</v>
      </c>
      <c r="Q10" s="7">
        <v>31</v>
      </c>
      <c r="R10" s="7">
        <v>31</v>
      </c>
      <c r="S10" s="7">
        <v>31</v>
      </c>
      <c r="T10" s="7">
        <v>31</v>
      </c>
      <c r="U10" s="7">
        <v>31</v>
      </c>
      <c r="V10" s="7">
        <v>31</v>
      </c>
      <c r="W10" s="7">
        <v>31</v>
      </c>
      <c r="X10" s="7">
        <v>31</v>
      </c>
      <c r="Y10" s="7">
        <v>31</v>
      </c>
      <c r="Z10" s="7">
        <v>31</v>
      </c>
      <c r="AA10" s="7">
        <v>31</v>
      </c>
      <c r="AB10" s="7">
        <v>31</v>
      </c>
      <c r="AC10" s="7">
        <v>31</v>
      </c>
      <c r="AD10" s="7">
        <v>31</v>
      </c>
      <c r="AE10" s="7">
        <v>31</v>
      </c>
      <c r="AF10" s="7">
        <v>31</v>
      </c>
      <c r="AG10" s="7">
        <v>31</v>
      </c>
      <c r="AH10" s="7">
        <v>31</v>
      </c>
      <c r="AI10" s="7">
        <v>31</v>
      </c>
      <c r="AJ10" s="7">
        <v>31</v>
      </c>
      <c r="AK10" s="7">
        <v>31</v>
      </c>
      <c r="AL10" s="7">
        <v>31</v>
      </c>
      <c r="AM10" s="7">
        <v>31</v>
      </c>
      <c r="AN10" s="7">
        <v>31</v>
      </c>
      <c r="AO10" s="7">
        <v>31</v>
      </c>
      <c r="AP10" s="7">
        <v>31</v>
      </c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G10" s="4"/>
      <c r="BH10" s="4"/>
      <c r="BI10" s="4"/>
      <c r="BJ10" s="4"/>
    </row>
    <row r="11" spans="1:117" x14ac:dyDescent="0.2">
      <c r="B11" s="9"/>
      <c r="C11" t="s">
        <v>11</v>
      </c>
      <c r="D11" s="7">
        <v>28</v>
      </c>
      <c r="E11" s="7">
        <v>27</v>
      </c>
      <c r="F11" s="7">
        <v>27</v>
      </c>
      <c r="G11" s="7">
        <v>27</v>
      </c>
      <c r="H11" s="7">
        <v>27</v>
      </c>
      <c r="I11" s="7">
        <v>31</v>
      </c>
      <c r="J11" s="7">
        <v>31</v>
      </c>
      <c r="K11" s="7">
        <v>31</v>
      </c>
      <c r="L11" s="7">
        <v>31</v>
      </c>
      <c r="M11" s="7">
        <v>31</v>
      </c>
      <c r="N11" s="7">
        <v>29</v>
      </c>
      <c r="O11" s="7">
        <v>29</v>
      </c>
      <c r="P11" s="7">
        <v>28</v>
      </c>
      <c r="Q11" s="7">
        <v>28</v>
      </c>
      <c r="R11" s="7">
        <v>28</v>
      </c>
      <c r="S11" s="7">
        <v>28</v>
      </c>
      <c r="T11" s="7">
        <v>27</v>
      </c>
      <c r="U11" s="7">
        <v>27</v>
      </c>
      <c r="V11" s="7">
        <v>27</v>
      </c>
      <c r="W11" s="7">
        <v>27</v>
      </c>
      <c r="X11" s="7">
        <v>27</v>
      </c>
      <c r="Y11" s="7">
        <v>24</v>
      </c>
      <c r="Z11" s="7">
        <v>24</v>
      </c>
      <c r="AA11" s="7">
        <v>24</v>
      </c>
      <c r="AB11" s="7">
        <v>24</v>
      </c>
      <c r="AC11" s="7">
        <v>24</v>
      </c>
      <c r="AD11" s="7">
        <v>24</v>
      </c>
      <c r="AE11" s="7">
        <v>24</v>
      </c>
      <c r="AF11" s="7">
        <v>24</v>
      </c>
      <c r="AG11" s="7">
        <v>24</v>
      </c>
      <c r="AH11" s="7">
        <v>30</v>
      </c>
      <c r="AI11" s="7">
        <v>30</v>
      </c>
      <c r="AJ11" s="7">
        <v>29</v>
      </c>
      <c r="AK11" s="7">
        <v>29</v>
      </c>
      <c r="AL11" s="7">
        <v>29</v>
      </c>
      <c r="AM11" s="7">
        <v>29</v>
      </c>
      <c r="AN11" s="7">
        <v>29</v>
      </c>
      <c r="AO11" s="7">
        <v>29</v>
      </c>
      <c r="AP11" s="7">
        <v>29</v>
      </c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F11" t="s">
        <v>12</v>
      </c>
      <c r="BG11" s="4">
        <f t="shared" ref="BG11:CL11" si="4">D11/(D10-D13)</f>
        <v>1</v>
      </c>
      <c r="BH11" s="4">
        <f t="shared" si="4"/>
        <v>1</v>
      </c>
      <c r="BI11" s="4">
        <f t="shared" si="4"/>
        <v>1</v>
      </c>
      <c r="BJ11" s="4">
        <f t="shared" si="4"/>
        <v>1</v>
      </c>
      <c r="BK11" s="4">
        <f t="shared" si="4"/>
        <v>1</v>
      </c>
      <c r="BL11" s="4">
        <f t="shared" si="4"/>
        <v>1</v>
      </c>
      <c r="BM11" s="4">
        <f t="shared" si="4"/>
        <v>1</v>
      </c>
      <c r="BN11" s="4">
        <f t="shared" si="4"/>
        <v>1</v>
      </c>
      <c r="BO11" s="4">
        <f t="shared" si="4"/>
        <v>1</v>
      </c>
      <c r="BP11" s="4">
        <f t="shared" si="4"/>
        <v>1</v>
      </c>
      <c r="BQ11" s="4">
        <f t="shared" si="4"/>
        <v>1</v>
      </c>
      <c r="BR11" s="4">
        <f t="shared" si="4"/>
        <v>1</v>
      </c>
      <c r="BS11" s="4">
        <f t="shared" si="4"/>
        <v>1</v>
      </c>
      <c r="BT11" s="4">
        <f t="shared" si="4"/>
        <v>1</v>
      </c>
      <c r="BU11" s="4">
        <f t="shared" si="4"/>
        <v>1</v>
      </c>
      <c r="BV11" s="4">
        <f t="shared" si="4"/>
        <v>1</v>
      </c>
      <c r="BW11" s="4">
        <f t="shared" si="4"/>
        <v>1</v>
      </c>
      <c r="BX11" s="4">
        <f t="shared" si="4"/>
        <v>1</v>
      </c>
      <c r="BY11" s="4">
        <f t="shared" si="4"/>
        <v>1</v>
      </c>
      <c r="BZ11" s="4">
        <f t="shared" si="4"/>
        <v>1</v>
      </c>
      <c r="CA11" s="4">
        <f t="shared" si="4"/>
        <v>1</v>
      </c>
      <c r="CB11" s="4">
        <f t="shared" si="4"/>
        <v>1</v>
      </c>
      <c r="CC11" s="4">
        <f t="shared" si="4"/>
        <v>1</v>
      </c>
      <c r="CD11" s="4">
        <f t="shared" si="4"/>
        <v>1</v>
      </c>
      <c r="CE11" s="4">
        <f t="shared" si="4"/>
        <v>1</v>
      </c>
      <c r="CF11" s="4">
        <f t="shared" si="4"/>
        <v>1</v>
      </c>
      <c r="CG11" s="4">
        <f t="shared" si="4"/>
        <v>1</v>
      </c>
      <c r="CH11" s="4">
        <f t="shared" si="4"/>
        <v>1</v>
      </c>
      <c r="CI11" s="4">
        <f t="shared" si="4"/>
        <v>1</v>
      </c>
      <c r="CJ11" s="4">
        <f t="shared" si="4"/>
        <v>1</v>
      </c>
      <c r="CK11" s="4">
        <f t="shared" si="4"/>
        <v>1</v>
      </c>
      <c r="CL11" s="4">
        <f t="shared" si="4"/>
        <v>1</v>
      </c>
      <c r="CM11" s="4">
        <f t="shared" ref="CM11:DR11" si="5">AJ11/(AJ10-AJ13)</f>
        <v>1</v>
      </c>
      <c r="CN11" s="4">
        <f t="shared" si="5"/>
        <v>1</v>
      </c>
      <c r="CO11" s="4">
        <f t="shared" si="5"/>
        <v>1</v>
      </c>
      <c r="CP11" s="4">
        <f t="shared" si="5"/>
        <v>1</v>
      </c>
      <c r="CQ11" s="4">
        <f t="shared" si="5"/>
        <v>1</v>
      </c>
      <c r="CR11" s="4">
        <f t="shared" si="5"/>
        <v>1</v>
      </c>
      <c r="CS11" s="4">
        <f t="shared" si="5"/>
        <v>1</v>
      </c>
      <c r="CT11" s="4" t="e">
        <f t="shared" si="5"/>
        <v>#DIV/0!</v>
      </c>
      <c r="CU11" s="4" t="e">
        <f t="shared" si="5"/>
        <v>#DIV/0!</v>
      </c>
      <c r="CV11" s="4" t="e">
        <f t="shared" si="5"/>
        <v>#DIV/0!</v>
      </c>
      <c r="CW11" s="4" t="e">
        <f t="shared" si="5"/>
        <v>#DIV/0!</v>
      </c>
      <c r="CX11" s="4" t="e">
        <f t="shared" si="5"/>
        <v>#DIV/0!</v>
      </c>
      <c r="CY11" s="4" t="e">
        <f t="shared" si="5"/>
        <v>#DIV/0!</v>
      </c>
      <c r="CZ11" s="4" t="e">
        <f t="shared" si="5"/>
        <v>#DIV/0!</v>
      </c>
      <c r="DA11" s="4" t="e">
        <f t="shared" si="5"/>
        <v>#DIV/0!</v>
      </c>
      <c r="DB11" s="4" t="e">
        <f t="shared" si="5"/>
        <v>#DIV/0!</v>
      </c>
      <c r="DC11" s="4" t="e">
        <f t="shared" si="5"/>
        <v>#DIV/0!</v>
      </c>
      <c r="DD11" s="4" t="e">
        <f t="shared" si="5"/>
        <v>#DIV/0!</v>
      </c>
      <c r="DE11" s="4" t="e">
        <f t="shared" si="5"/>
        <v>#DIV/0!</v>
      </c>
      <c r="DF11" s="4" t="e">
        <f t="shared" si="5"/>
        <v>#DIV/0!</v>
      </c>
      <c r="DG11" s="4" t="e">
        <f t="shared" si="5"/>
        <v>#DIV/0!</v>
      </c>
      <c r="DI11" t="s">
        <v>12</v>
      </c>
      <c r="DJ11" s="4">
        <f>AVERAGE(BG11:BS11)</f>
        <v>1</v>
      </c>
      <c r="DK11" s="4">
        <f>AVERAGE(BT11:CF11)</f>
        <v>1</v>
      </c>
      <c r="DL11" s="4">
        <f>AVERAGE(CG11:CS11)</f>
        <v>1</v>
      </c>
      <c r="DM11" s="4" t="e">
        <f>AVERAGE(CT11:DG11)</f>
        <v>#DIV/0!</v>
      </c>
    </row>
    <row r="12" spans="1:117" x14ac:dyDescent="0.2">
      <c r="B12" s="9"/>
      <c r="C12" t="s">
        <v>13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5</v>
      </c>
      <c r="Z12" s="7">
        <v>5</v>
      </c>
      <c r="AA12" s="7">
        <v>5</v>
      </c>
      <c r="AB12" s="7">
        <v>5</v>
      </c>
      <c r="AC12" s="7">
        <v>5</v>
      </c>
      <c r="AD12" s="7">
        <v>5</v>
      </c>
      <c r="AE12" s="7">
        <v>5</v>
      </c>
      <c r="AF12" s="7">
        <v>5</v>
      </c>
      <c r="AG12" s="7">
        <v>5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F12" t="s">
        <v>14</v>
      </c>
      <c r="BG12" s="4">
        <f t="shared" ref="BG12:CL12" si="6">IF(D11=0,0,(D11-D12)/D11)</f>
        <v>1</v>
      </c>
      <c r="BH12" s="4">
        <f t="shared" si="6"/>
        <v>1</v>
      </c>
      <c r="BI12" s="4">
        <f t="shared" si="6"/>
        <v>1</v>
      </c>
      <c r="BJ12" s="4">
        <f t="shared" si="6"/>
        <v>1</v>
      </c>
      <c r="BK12" s="4">
        <f t="shared" si="6"/>
        <v>1</v>
      </c>
      <c r="BL12" s="4">
        <f t="shared" si="6"/>
        <v>1</v>
      </c>
      <c r="BM12" s="4">
        <f t="shared" si="6"/>
        <v>1</v>
      </c>
      <c r="BN12" s="4">
        <f t="shared" si="6"/>
        <v>1</v>
      </c>
      <c r="BO12" s="4">
        <f t="shared" si="6"/>
        <v>1</v>
      </c>
      <c r="BP12" s="4">
        <f t="shared" si="6"/>
        <v>1</v>
      </c>
      <c r="BQ12" s="4">
        <f t="shared" si="6"/>
        <v>1</v>
      </c>
      <c r="BR12" s="4">
        <f t="shared" si="6"/>
        <v>1</v>
      </c>
      <c r="BS12" s="4">
        <f t="shared" si="6"/>
        <v>1</v>
      </c>
      <c r="BT12" s="4">
        <f t="shared" si="6"/>
        <v>1</v>
      </c>
      <c r="BU12" s="4">
        <f t="shared" si="6"/>
        <v>1</v>
      </c>
      <c r="BV12" s="4">
        <f t="shared" si="6"/>
        <v>1</v>
      </c>
      <c r="BW12" s="4">
        <f t="shared" si="6"/>
        <v>1</v>
      </c>
      <c r="BX12" s="4">
        <f t="shared" si="6"/>
        <v>1</v>
      </c>
      <c r="BY12" s="4">
        <f t="shared" si="6"/>
        <v>1</v>
      </c>
      <c r="BZ12" s="4">
        <f t="shared" si="6"/>
        <v>1</v>
      </c>
      <c r="CA12" s="4">
        <f t="shared" si="6"/>
        <v>1</v>
      </c>
      <c r="CB12" s="4">
        <f t="shared" si="6"/>
        <v>0.79166666666666663</v>
      </c>
      <c r="CC12" s="4">
        <f t="shared" si="6"/>
        <v>0.79166666666666663</v>
      </c>
      <c r="CD12" s="4">
        <f t="shared" si="6"/>
        <v>0.79166666666666663</v>
      </c>
      <c r="CE12" s="4">
        <f t="shared" si="6"/>
        <v>0.79166666666666663</v>
      </c>
      <c r="CF12" s="4">
        <f t="shared" si="6"/>
        <v>0.79166666666666663</v>
      </c>
      <c r="CG12" s="4">
        <f t="shared" si="6"/>
        <v>0.79166666666666663</v>
      </c>
      <c r="CH12" s="4">
        <f t="shared" si="6"/>
        <v>0.79166666666666663</v>
      </c>
      <c r="CI12" s="4">
        <f t="shared" si="6"/>
        <v>0.79166666666666663</v>
      </c>
      <c r="CJ12" s="4">
        <f t="shared" si="6"/>
        <v>0.79166666666666663</v>
      </c>
      <c r="CK12" s="4">
        <f t="shared" si="6"/>
        <v>1</v>
      </c>
      <c r="CL12" s="4">
        <f t="shared" si="6"/>
        <v>1</v>
      </c>
      <c r="CM12" s="4">
        <f t="shared" ref="CM12:DR12" si="7">IF(AJ11=0,0,(AJ11-AJ12)/AJ11)</f>
        <v>1</v>
      </c>
      <c r="CN12" s="4">
        <f t="shared" si="7"/>
        <v>1</v>
      </c>
      <c r="CO12" s="4">
        <f t="shared" si="7"/>
        <v>1</v>
      </c>
      <c r="CP12" s="4">
        <f t="shared" si="7"/>
        <v>1</v>
      </c>
      <c r="CQ12" s="4">
        <f t="shared" si="7"/>
        <v>1</v>
      </c>
      <c r="CR12" s="4">
        <f t="shared" si="7"/>
        <v>1</v>
      </c>
      <c r="CS12" s="4">
        <f t="shared" si="7"/>
        <v>1</v>
      </c>
      <c r="CT12" s="4">
        <f t="shared" si="7"/>
        <v>0</v>
      </c>
      <c r="CU12" s="4">
        <f t="shared" si="7"/>
        <v>0</v>
      </c>
      <c r="CV12" s="4">
        <f t="shared" si="7"/>
        <v>0</v>
      </c>
      <c r="CW12" s="4">
        <f t="shared" si="7"/>
        <v>0</v>
      </c>
      <c r="CX12" s="4">
        <f t="shared" si="7"/>
        <v>0</v>
      </c>
      <c r="CY12" s="4">
        <f t="shared" si="7"/>
        <v>0</v>
      </c>
      <c r="CZ12" s="4">
        <f t="shared" si="7"/>
        <v>0</v>
      </c>
      <c r="DA12" s="4">
        <f t="shared" si="7"/>
        <v>0</v>
      </c>
      <c r="DB12" s="4">
        <f t="shared" si="7"/>
        <v>0</v>
      </c>
      <c r="DC12" s="4">
        <f t="shared" si="7"/>
        <v>0</v>
      </c>
      <c r="DD12" s="4">
        <f t="shared" si="7"/>
        <v>0</v>
      </c>
      <c r="DE12" s="4">
        <f t="shared" si="7"/>
        <v>0</v>
      </c>
      <c r="DF12" s="4">
        <f t="shared" si="7"/>
        <v>0</v>
      </c>
      <c r="DG12" s="4">
        <f t="shared" si="7"/>
        <v>0</v>
      </c>
      <c r="DI12" t="s">
        <v>14</v>
      </c>
      <c r="DJ12" s="4">
        <f>AVERAGE(BG12:BS12)</f>
        <v>1</v>
      </c>
      <c r="DK12" s="4">
        <f>AVERAGE(BT12:CF12)</f>
        <v>0.9198717948717946</v>
      </c>
      <c r="DL12" s="4">
        <f>AVERAGE(CG12:CS12)</f>
        <v>0.9358974358974359</v>
      </c>
      <c r="DM12" s="4">
        <f>AVERAGE(CT12:DG12)</f>
        <v>0</v>
      </c>
    </row>
    <row r="13" spans="1:117" x14ac:dyDescent="0.2">
      <c r="B13" s="9"/>
      <c r="C13" t="s">
        <v>15</v>
      </c>
      <c r="D13" s="7">
        <v>3</v>
      </c>
      <c r="E13" s="7">
        <v>4</v>
      </c>
      <c r="F13" s="7">
        <v>4</v>
      </c>
      <c r="G13" s="7">
        <v>4</v>
      </c>
      <c r="H13" s="7">
        <v>4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2</v>
      </c>
      <c r="O13" s="7">
        <v>2</v>
      </c>
      <c r="P13" s="7">
        <v>3</v>
      </c>
      <c r="Q13" s="7">
        <v>3</v>
      </c>
      <c r="R13" s="7">
        <v>3</v>
      </c>
      <c r="S13" s="7">
        <v>3</v>
      </c>
      <c r="T13" s="7">
        <v>4</v>
      </c>
      <c r="U13" s="7">
        <v>4</v>
      </c>
      <c r="V13" s="7">
        <v>4</v>
      </c>
      <c r="W13" s="7">
        <v>4</v>
      </c>
      <c r="X13" s="7">
        <v>4</v>
      </c>
      <c r="Y13" s="7">
        <v>7</v>
      </c>
      <c r="Z13" s="7">
        <v>7</v>
      </c>
      <c r="AA13" s="7">
        <v>7</v>
      </c>
      <c r="AB13" s="7">
        <v>7</v>
      </c>
      <c r="AC13" s="7">
        <v>7</v>
      </c>
      <c r="AD13" s="7">
        <v>7</v>
      </c>
      <c r="AE13" s="7">
        <v>7</v>
      </c>
      <c r="AF13" s="7">
        <v>7</v>
      </c>
      <c r="AG13" s="7">
        <v>7</v>
      </c>
      <c r="AH13" s="7">
        <v>1</v>
      </c>
      <c r="AI13" s="7">
        <v>1</v>
      </c>
      <c r="AJ13" s="7">
        <v>2</v>
      </c>
      <c r="AK13" s="7">
        <v>2</v>
      </c>
      <c r="AL13" s="7">
        <v>2</v>
      </c>
      <c r="AM13" s="7">
        <v>2</v>
      </c>
      <c r="AN13" s="7">
        <v>2</v>
      </c>
      <c r="AO13" s="7">
        <v>2</v>
      </c>
      <c r="AP13" s="7">
        <v>2</v>
      </c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F13" t="s">
        <v>16</v>
      </c>
      <c r="BG13" s="4">
        <f t="shared" ref="BG13:CL13" si="8">(D10-D13)/D10</f>
        <v>0.90322580645161288</v>
      </c>
      <c r="BH13" s="4">
        <f t="shared" si="8"/>
        <v>0.87096774193548387</v>
      </c>
      <c r="BI13" s="4">
        <f t="shared" si="8"/>
        <v>0.87096774193548387</v>
      </c>
      <c r="BJ13" s="4">
        <f t="shared" si="8"/>
        <v>0.87096774193548387</v>
      </c>
      <c r="BK13" s="4">
        <f t="shared" si="8"/>
        <v>0.87096774193548387</v>
      </c>
      <c r="BL13" s="4">
        <f t="shared" si="8"/>
        <v>1</v>
      </c>
      <c r="BM13" s="4">
        <f t="shared" si="8"/>
        <v>1</v>
      </c>
      <c r="BN13" s="4">
        <f t="shared" si="8"/>
        <v>1</v>
      </c>
      <c r="BO13" s="4">
        <f t="shared" si="8"/>
        <v>1</v>
      </c>
      <c r="BP13" s="4">
        <f t="shared" si="8"/>
        <v>1</v>
      </c>
      <c r="BQ13" s="4">
        <f t="shared" si="8"/>
        <v>0.93548387096774188</v>
      </c>
      <c r="BR13" s="4">
        <f t="shared" si="8"/>
        <v>0.93548387096774188</v>
      </c>
      <c r="BS13" s="4">
        <f t="shared" si="8"/>
        <v>0.90322580645161288</v>
      </c>
      <c r="BT13" s="4">
        <f t="shared" si="8"/>
        <v>0.90322580645161288</v>
      </c>
      <c r="BU13" s="4">
        <f t="shared" si="8"/>
        <v>0.90322580645161288</v>
      </c>
      <c r="BV13" s="4">
        <f t="shared" si="8"/>
        <v>0.90322580645161288</v>
      </c>
      <c r="BW13" s="4">
        <f t="shared" si="8"/>
        <v>0.87096774193548387</v>
      </c>
      <c r="BX13" s="4">
        <f t="shared" si="8"/>
        <v>0.87096774193548387</v>
      </c>
      <c r="BY13" s="4">
        <f t="shared" si="8"/>
        <v>0.87096774193548387</v>
      </c>
      <c r="BZ13" s="4">
        <f t="shared" si="8"/>
        <v>0.87096774193548387</v>
      </c>
      <c r="CA13" s="4">
        <f t="shared" si="8"/>
        <v>0.87096774193548387</v>
      </c>
      <c r="CB13" s="4">
        <f t="shared" si="8"/>
        <v>0.77419354838709675</v>
      </c>
      <c r="CC13" s="4">
        <f t="shared" si="8"/>
        <v>0.77419354838709675</v>
      </c>
      <c r="CD13" s="4">
        <f t="shared" si="8"/>
        <v>0.77419354838709675</v>
      </c>
      <c r="CE13" s="4">
        <f t="shared" si="8"/>
        <v>0.77419354838709675</v>
      </c>
      <c r="CF13" s="4">
        <f t="shared" si="8"/>
        <v>0.77419354838709675</v>
      </c>
      <c r="CG13" s="4">
        <f t="shared" si="8"/>
        <v>0.77419354838709675</v>
      </c>
      <c r="CH13" s="4">
        <f t="shared" si="8"/>
        <v>0.77419354838709675</v>
      </c>
      <c r="CI13" s="4">
        <f t="shared" si="8"/>
        <v>0.77419354838709675</v>
      </c>
      <c r="CJ13" s="4">
        <f t="shared" si="8"/>
        <v>0.77419354838709675</v>
      </c>
      <c r="CK13" s="4">
        <f t="shared" si="8"/>
        <v>0.967741935483871</v>
      </c>
      <c r="CL13" s="4">
        <f t="shared" si="8"/>
        <v>0.967741935483871</v>
      </c>
      <c r="CM13" s="4">
        <f t="shared" ref="CM13:DR13" si="9">(AJ10-AJ13)/AJ10</f>
        <v>0.93548387096774188</v>
      </c>
      <c r="CN13" s="4">
        <f t="shared" si="9"/>
        <v>0.93548387096774188</v>
      </c>
      <c r="CO13" s="4">
        <f t="shared" si="9"/>
        <v>0.93548387096774188</v>
      </c>
      <c r="CP13" s="4">
        <f t="shared" si="9"/>
        <v>0.93548387096774188</v>
      </c>
      <c r="CQ13" s="4">
        <f t="shared" si="9"/>
        <v>0.93548387096774188</v>
      </c>
      <c r="CR13" s="4">
        <f t="shared" si="9"/>
        <v>0.93548387096774188</v>
      </c>
      <c r="CS13" s="4">
        <f t="shared" si="9"/>
        <v>0.93548387096774188</v>
      </c>
      <c r="CT13" s="4" t="e">
        <f t="shared" si="9"/>
        <v>#DIV/0!</v>
      </c>
      <c r="CU13" s="4" t="e">
        <f t="shared" si="9"/>
        <v>#DIV/0!</v>
      </c>
      <c r="CV13" s="4" t="e">
        <f t="shared" si="9"/>
        <v>#DIV/0!</v>
      </c>
      <c r="CW13" s="4" t="e">
        <f t="shared" si="9"/>
        <v>#DIV/0!</v>
      </c>
      <c r="CX13" s="4" t="e">
        <f t="shared" si="9"/>
        <v>#DIV/0!</v>
      </c>
      <c r="CY13" s="4" t="e">
        <f t="shared" si="9"/>
        <v>#DIV/0!</v>
      </c>
      <c r="CZ13" s="4" t="e">
        <f t="shared" si="9"/>
        <v>#DIV/0!</v>
      </c>
      <c r="DA13" s="4" t="e">
        <f t="shared" si="9"/>
        <v>#DIV/0!</v>
      </c>
      <c r="DB13" s="4" t="e">
        <f t="shared" si="9"/>
        <v>#DIV/0!</v>
      </c>
      <c r="DC13" s="4" t="e">
        <f t="shared" si="9"/>
        <v>#DIV/0!</v>
      </c>
      <c r="DD13" s="4" t="e">
        <f t="shared" si="9"/>
        <v>#DIV/0!</v>
      </c>
      <c r="DE13" s="4" t="e">
        <f t="shared" si="9"/>
        <v>#DIV/0!</v>
      </c>
      <c r="DF13" s="4" t="e">
        <f t="shared" si="9"/>
        <v>#DIV/0!</v>
      </c>
      <c r="DG13" s="4" t="e">
        <f t="shared" si="9"/>
        <v>#DIV/0!</v>
      </c>
      <c r="DI13" t="s">
        <v>16</v>
      </c>
      <c r="DJ13" s="4">
        <f>AVERAGE(BG13:BS13)</f>
        <v>0.93548387096774188</v>
      </c>
      <c r="DK13" s="4">
        <f>AVERAGE(BT13:CF13)</f>
        <v>0.84119106699751844</v>
      </c>
      <c r="DL13" s="4">
        <f>AVERAGE(CG13:CS13)</f>
        <v>0.89081885856079401</v>
      </c>
      <c r="DM13" s="4" t="e">
        <f>AVERAGE(CT13:DG13)</f>
        <v>#DIV/0!</v>
      </c>
    </row>
    <row r="14" spans="1:117" x14ac:dyDescent="0.2">
      <c r="B14" s="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</row>
    <row r="15" spans="1:117" x14ac:dyDescent="0.2">
      <c r="B15" s="9"/>
      <c r="C15" t="s">
        <v>17</v>
      </c>
      <c r="D15" s="7">
        <v>9</v>
      </c>
      <c r="E15" s="7">
        <v>9</v>
      </c>
      <c r="F15" s="7">
        <v>9</v>
      </c>
      <c r="G15" s="7">
        <v>9</v>
      </c>
      <c r="H15" s="7">
        <v>9</v>
      </c>
      <c r="I15" s="7">
        <v>9</v>
      </c>
      <c r="J15" s="7">
        <v>9</v>
      </c>
      <c r="K15" s="7">
        <v>9</v>
      </c>
      <c r="L15" s="7">
        <v>9</v>
      </c>
      <c r="M15" s="7">
        <v>9</v>
      </c>
      <c r="N15" s="7">
        <v>9</v>
      </c>
      <c r="O15" s="7">
        <v>9</v>
      </c>
      <c r="P15" s="7">
        <v>9</v>
      </c>
      <c r="Q15" s="7">
        <v>9</v>
      </c>
      <c r="R15" s="7">
        <v>9</v>
      </c>
      <c r="S15" s="7">
        <v>9</v>
      </c>
      <c r="T15" s="7">
        <v>9</v>
      </c>
      <c r="U15" s="7">
        <v>9</v>
      </c>
      <c r="V15" s="7">
        <v>9</v>
      </c>
      <c r="W15" s="7">
        <v>9</v>
      </c>
      <c r="X15" s="7">
        <v>9</v>
      </c>
      <c r="Y15" s="7">
        <v>9</v>
      </c>
      <c r="Z15" s="7">
        <v>9</v>
      </c>
      <c r="AA15" s="7">
        <v>9</v>
      </c>
      <c r="AB15" s="7">
        <v>9</v>
      </c>
      <c r="AC15" s="7">
        <v>9</v>
      </c>
      <c r="AD15" s="7">
        <v>9</v>
      </c>
      <c r="AE15" s="7">
        <v>9</v>
      </c>
      <c r="AF15" s="7">
        <v>9</v>
      </c>
      <c r="AG15" s="7">
        <v>9</v>
      </c>
      <c r="AH15" s="7">
        <v>9</v>
      </c>
      <c r="AI15" s="7">
        <v>9</v>
      </c>
      <c r="AJ15" s="7">
        <v>9</v>
      </c>
      <c r="AK15" s="7">
        <v>9</v>
      </c>
      <c r="AL15" s="7">
        <v>9</v>
      </c>
      <c r="AM15" s="7">
        <v>9</v>
      </c>
      <c r="AN15" s="7">
        <v>9</v>
      </c>
      <c r="AO15" s="7">
        <v>9</v>
      </c>
      <c r="AP15" s="7">
        <v>9</v>
      </c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</row>
    <row r="16" spans="1:117" x14ac:dyDescent="0.2">
      <c r="B16" s="9"/>
      <c r="C16" t="s">
        <v>18</v>
      </c>
      <c r="D16" s="7">
        <v>9</v>
      </c>
      <c r="E16" s="7">
        <v>9</v>
      </c>
      <c r="F16" s="7">
        <v>9</v>
      </c>
      <c r="G16" s="7">
        <v>9</v>
      </c>
      <c r="H16" s="7">
        <v>9</v>
      </c>
      <c r="I16" s="7">
        <v>9</v>
      </c>
      <c r="J16" s="7">
        <v>9</v>
      </c>
      <c r="K16" s="7">
        <v>9</v>
      </c>
      <c r="L16" s="7">
        <v>9</v>
      </c>
      <c r="M16" s="7">
        <v>9</v>
      </c>
      <c r="N16" s="7">
        <v>9</v>
      </c>
      <c r="O16" s="7">
        <v>6</v>
      </c>
      <c r="P16" s="7">
        <v>6</v>
      </c>
      <c r="Q16" s="7">
        <v>6</v>
      </c>
      <c r="R16" s="7">
        <v>6</v>
      </c>
      <c r="S16" s="7">
        <v>6</v>
      </c>
      <c r="T16" s="7">
        <v>6</v>
      </c>
      <c r="U16" s="7">
        <v>6</v>
      </c>
      <c r="V16" s="7">
        <v>6</v>
      </c>
      <c r="W16" s="7">
        <v>6</v>
      </c>
      <c r="X16" s="7">
        <v>6</v>
      </c>
      <c r="Y16" s="7">
        <v>6</v>
      </c>
      <c r="Z16" s="7">
        <v>6</v>
      </c>
      <c r="AA16" s="7">
        <v>6</v>
      </c>
      <c r="AB16" s="7">
        <v>6</v>
      </c>
      <c r="AC16" s="7">
        <v>6</v>
      </c>
      <c r="AD16" s="7">
        <v>6</v>
      </c>
      <c r="AE16" s="7">
        <v>6</v>
      </c>
      <c r="AF16" s="7">
        <v>6</v>
      </c>
      <c r="AG16" s="7">
        <v>6</v>
      </c>
      <c r="AH16" s="7">
        <v>9</v>
      </c>
      <c r="AI16" s="7">
        <v>9</v>
      </c>
      <c r="AJ16" s="7">
        <v>9</v>
      </c>
      <c r="AK16" s="7">
        <v>9</v>
      </c>
      <c r="AL16" s="7">
        <v>9</v>
      </c>
      <c r="AM16" s="7">
        <v>9</v>
      </c>
      <c r="AN16" s="7">
        <v>9</v>
      </c>
      <c r="AO16" s="7">
        <v>9</v>
      </c>
      <c r="AP16" s="7">
        <v>9</v>
      </c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F16" t="s">
        <v>19</v>
      </c>
      <c r="BG16" s="4">
        <f t="shared" ref="BG16:CL16" si="10">D16/(D15-D18)</f>
        <v>1</v>
      </c>
      <c r="BH16" s="4">
        <f t="shared" si="10"/>
        <v>1</v>
      </c>
      <c r="BI16" s="4">
        <f t="shared" si="10"/>
        <v>1</v>
      </c>
      <c r="BJ16" s="4">
        <f t="shared" si="10"/>
        <v>1</v>
      </c>
      <c r="BK16" s="4">
        <f t="shared" si="10"/>
        <v>1</v>
      </c>
      <c r="BL16" s="4">
        <f t="shared" si="10"/>
        <v>1</v>
      </c>
      <c r="BM16" s="4">
        <f t="shared" si="10"/>
        <v>1</v>
      </c>
      <c r="BN16" s="4">
        <f t="shared" si="10"/>
        <v>1</v>
      </c>
      <c r="BO16" s="4">
        <f t="shared" si="10"/>
        <v>1</v>
      </c>
      <c r="BP16" s="4">
        <f t="shared" si="10"/>
        <v>1</v>
      </c>
      <c r="BQ16" s="4">
        <f t="shared" si="10"/>
        <v>1</v>
      </c>
      <c r="BR16" s="4">
        <f t="shared" si="10"/>
        <v>0.66666666666666663</v>
      </c>
      <c r="BS16" s="4">
        <f t="shared" si="10"/>
        <v>0.66666666666666663</v>
      </c>
      <c r="BT16" s="4">
        <f t="shared" si="10"/>
        <v>0.66666666666666663</v>
      </c>
      <c r="BU16" s="4">
        <f t="shared" si="10"/>
        <v>0.66666666666666663</v>
      </c>
      <c r="BV16" s="4">
        <f t="shared" si="10"/>
        <v>0.66666666666666663</v>
      </c>
      <c r="BW16" s="4">
        <f t="shared" si="10"/>
        <v>0.66666666666666663</v>
      </c>
      <c r="BX16" s="4">
        <f t="shared" si="10"/>
        <v>0.66666666666666663</v>
      </c>
      <c r="BY16" s="4">
        <f t="shared" si="10"/>
        <v>0.66666666666666663</v>
      </c>
      <c r="BZ16" s="4">
        <f t="shared" si="10"/>
        <v>0.66666666666666663</v>
      </c>
      <c r="CA16" s="4">
        <f t="shared" si="10"/>
        <v>0.66666666666666663</v>
      </c>
      <c r="CB16" s="4">
        <f t="shared" si="10"/>
        <v>0.66666666666666663</v>
      </c>
      <c r="CC16" s="4">
        <f t="shared" si="10"/>
        <v>0.66666666666666663</v>
      </c>
      <c r="CD16" s="4">
        <f t="shared" si="10"/>
        <v>0.66666666666666663</v>
      </c>
      <c r="CE16" s="4">
        <f t="shared" si="10"/>
        <v>0.66666666666666663</v>
      </c>
      <c r="CF16" s="4">
        <f t="shared" si="10"/>
        <v>0.66666666666666663</v>
      </c>
      <c r="CG16" s="4">
        <f t="shared" si="10"/>
        <v>0.66666666666666663</v>
      </c>
      <c r="CH16" s="4">
        <f t="shared" si="10"/>
        <v>0.66666666666666663</v>
      </c>
      <c r="CI16" s="4">
        <f t="shared" si="10"/>
        <v>0.66666666666666663</v>
      </c>
      <c r="CJ16" s="4">
        <f t="shared" si="10"/>
        <v>0.66666666666666663</v>
      </c>
      <c r="CK16" s="4">
        <f t="shared" si="10"/>
        <v>1</v>
      </c>
      <c r="CL16" s="4">
        <f t="shared" si="10"/>
        <v>1</v>
      </c>
      <c r="CM16" s="4">
        <f t="shared" ref="CM16:DR16" si="11">AJ16/(AJ15-AJ18)</f>
        <v>1</v>
      </c>
      <c r="CN16" s="4">
        <f t="shared" si="11"/>
        <v>1</v>
      </c>
      <c r="CO16" s="4">
        <f t="shared" si="11"/>
        <v>1</v>
      </c>
      <c r="CP16" s="4">
        <f t="shared" si="11"/>
        <v>1</v>
      </c>
      <c r="CQ16" s="4">
        <f t="shared" si="11"/>
        <v>1</v>
      </c>
      <c r="CR16" s="4">
        <f t="shared" si="11"/>
        <v>1</v>
      </c>
      <c r="CS16" s="4">
        <f t="shared" si="11"/>
        <v>1</v>
      </c>
      <c r="CT16" s="4" t="e">
        <f t="shared" si="11"/>
        <v>#DIV/0!</v>
      </c>
      <c r="CU16" s="4" t="e">
        <f t="shared" si="11"/>
        <v>#DIV/0!</v>
      </c>
      <c r="CV16" s="4" t="e">
        <f t="shared" si="11"/>
        <v>#DIV/0!</v>
      </c>
      <c r="CW16" s="4" t="e">
        <f t="shared" si="11"/>
        <v>#DIV/0!</v>
      </c>
      <c r="CX16" s="4" t="e">
        <f t="shared" si="11"/>
        <v>#DIV/0!</v>
      </c>
      <c r="CY16" s="4" t="e">
        <f t="shared" si="11"/>
        <v>#DIV/0!</v>
      </c>
      <c r="CZ16" s="4" t="e">
        <f t="shared" si="11"/>
        <v>#DIV/0!</v>
      </c>
      <c r="DA16" s="4" t="e">
        <f t="shared" si="11"/>
        <v>#DIV/0!</v>
      </c>
      <c r="DB16" s="4" t="e">
        <f t="shared" si="11"/>
        <v>#DIV/0!</v>
      </c>
      <c r="DC16" s="4" t="e">
        <f t="shared" si="11"/>
        <v>#DIV/0!</v>
      </c>
      <c r="DD16" s="4" t="e">
        <f t="shared" si="11"/>
        <v>#DIV/0!</v>
      </c>
      <c r="DE16" s="4" t="e">
        <f t="shared" si="11"/>
        <v>#DIV/0!</v>
      </c>
      <c r="DF16" s="4" t="e">
        <f t="shared" si="11"/>
        <v>#DIV/0!</v>
      </c>
      <c r="DG16" s="4" t="e">
        <f t="shared" si="11"/>
        <v>#DIV/0!</v>
      </c>
      <c r="DI16" t="s">
        <v>19</v>
      </c>
      <c r="DJ16" s="4">
        <f>AVERAGE(BG16:BS16)</f>
        <v>0.94871794871794868</v>
      </c>
      <c r="DK16" s="4">
        <f>AVERAGE(BT16:CF16)</f>
        <v>0.66666666666666663</v>
      </c>
      <c r="DL16" s="4">
        <f>AVERAGE(CG16:CS16)</f>
        <v>0.89743589743589736</v>
      </c>
      <c r="DM16" s="4" t="e">
        <f>AVERAGE(CT16:DG16)</f>
        <v>#DIV/0!</v>
      </c>
    </row>
    <row r="17" spans="2:117" x14ac:dyDescent="0.2">
      <c r="B17" s="9"/>
      <c r="C17" t="s">
        <v>20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3</v>
      </c>
      <c r="P17" s="7">
        <v>3</v>
      </c>
      <c r="Q17" s="7">
        <v>3</v>
      </c>
      <c r="R17" s="7">
        <v>3</v>
      </c>
      <c r="S17" s="7">
        <v>3</v>
      </c>
      <c r="T17" s="7">
        <v>3</v>
      </c>
      <c r="U17" s="7">
        <v>3</v>
      </c>
      <c r="V17" s="7">
        <v>3</v>
      </c>
      <c r="W17" s="7">
        <v>3</v>
      </c>
      <c r="X17" s="7">
        <v>3</v>
      </c>
      <c r="Y17" s="7">
        <v>3</v>
      </c>
      <c r="Z17" s="7">
        <v>3</v>
      </c>
      <c r="AA17" s="7">
        <v>3</v>
      </c>
      <c r="AB17" s="7">
        <v>3</v>
      </c>
      <c r="AC17" s="7">
        <v>3</v>
      </c>
      <c r="AD17" s="7">
        <v>3</v>
      </c>
      <c r="AE17" s="7">
        <v>3</v>
      </c>
      <c r="AF17" s="7">
        <v>3</v>
      </c>
      <c r="AG17" s="7">
        <v>3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F17" t="s">
        <v>21</v>
      </c>
      <c r="BG17" s="4">
        <f t="shared" ref="BG17:CL17" si="12">IF(D16=0,0,(D16-D17)/D16)</f>
        <v>1</v>
      </c>
      <c r="BH17" s="4">
        <f t="shared" si="12"/>
        <v>1</v>
      </c>
      <c r="BI17" s="4">
        <f t="shared" si="12"/>
        <v>1</v>
      </c>
      <c r="BJ17" s="4">
        <f t="shared" si="12"/>
        <v>1</v>
      </c>
      <c r="BK17" s="4">
        <f t="shared" si="12"/>
        <v>1</v>
      </c>
      <c r="BL17" s="4">
        <f t="shared" si="12"/>
        <v>1</v>
      </c>
      <c r="BM17" s="4">
        <f t="shared" si="12"/>
        <v>1</v>
      </c>
      <c r="BN17" s="4">
        <f t="shared" si="12"/>
        <v>1</v>
      </c>
      <c r="BO17" s="4">
        <f t="shared" si="12"/>
        <v>1</v>
      </c>
      <c r="BP17" s="4">
        <f t="shared" si="12"/>
        <v>1</v>
      </c>
      <c r="BQ17" s="4">
        <f t="shared" si="12"/>
        <v>1</v>
      </c>
      <c r="BR17" s="4">
        <f t="shared" si="12"/>
        <v>0.5</v>
      </c>
      <c r="BS17" s="4">
        <f t="shared" si="12"/>
        <v>0.5</v>
      </c>
      <c r="BT17" s="4">
        <f t="shared" si="12"/>
        <v>0.5</v>
      </c>
      <c r="BU17" s="4">
        <f t="shared" si="12"/>
        <v>0.5</v>
      </c>
      <c r="BV17" s="4">
        <f t="shared" si="12"/>
        <v>0.5</v>
      </c>
      <c r="BW17" s="4">
        <f t="shared" si="12"/>
        <v>0.5</v>
      </c>
      <c r="BX17" s="4">
        <f t="shared" si="12"/>
        <v>0.5</v>
      </c>
      <c r="BY17" s="4">
        <f t="shared" si="12"/>
        <v>0.5</v>
      </c>
      <c r="BZ17" s="4">
        <f t="shared" si="12"/>
        <v>0.5</v>
      </c>
      <c r="CA17" s="4">
        <f t="shared" si="12"/>
        <v>0.5</v>
      </c>
      <c r="CB17" s="4">
        <f t="shared" si="12"/>
        <v>0.5</v>
      </c>
      <c r="CC17" s="4">
        <f t="shared" si="12"/>
        <v>0.5</v>
      </c>
      <c r="CD17" s="4">
        <f t="shared" si="12"/>
        <v>0.5</v>
      </c>
      <c r="CE17" s="4">
        <f t="shared" si="12"/>
        <v>0.5</v>
      </c>
      <c r="CF17" s="4">
        <f t="shared" si="12"/>
        <v>0.5</v>
      </c>
      <c r="CG17" s="4">
        <f t="shared" si="12"/>
        <v>0.5</v>
      </c>
      <c r="CH17" s="4">
        <f t="shared" si="12"/>
        <v>0.5</v>
      </c>
      <c r="CI17" s="4">
        <f t="shared" si="12"/>
        <v>0.5</v>
      </c>
      <c r="CJ17" s="4">
        <f t="shared" si="12"/>
        <v>0.5</v>
      </c>
      <c r="CK17" s="4">
        <f t="shared" si="12"/>
        <v>1</v>
      </c>
      <c r="CL17" s="4">
        <f t="shared" si="12"/>
        <v>1</v>
      </c>
      <c r="CM17" s="4">
        <f t="shared" ref="CM17:DR17" si="13">IF(AJ16=0,0,(AJ16-AJ17)/AJ16)</f>
        <v>1</v>
      </c>
      <c r="CN17" s="4">
        <f t="shared" si="13"/>
        <v>1</v>
      </c>
      <c r="CO17" s="4">
        <f t="shared" si="13"/>
        <v>1</v>
      </c>
      <c r="CP17" s="4">
        <f t="shared" si="13"/>
        <v>1</v>
      </c>
      <c r="CQ17" s="4">
        <f t="shared" si="13"/>
        <v>1</v>
      </c>
      <c r="CR17" s="4">
        <f t="shared" si="13"/>
        <v>1</v>
      </c>
      <c r="CS17" s="4">
        <f t="shared" si="13"/>
        <v>1</v>
      </c>
      <c r="CT17" s="4">
        <f t="shared" si="13"/>
        <v>0</v>
      </c>
      <c r="CU17" s="4">
        <f t="shared" si="13"/>
        <v>0</v>
      </c>
      <c r="CV17" s="4">
        <f t="shared" si="13"/>
        <v>0</v>
      </c>
      <c r="CW17" s="4">
        <f t="shared" si="13"/>
        <v>0</v>
      </c>
      <c r="CX17" s="4">
        <f t="shared" si="13"/>
        <v>0</v>
      </c>
      <c r="CY17" s="4">
        <f t="shared" si="13"/>
        <v>0</v>
      </c>
      <c r="CZ17" s="4">
        <f t="shared" si="13"/>
        <v>0</v>
      </c>
      <c r="DA17" s="4">
        <f t="shared" si="13"/>
        <v>0</v>
      </c>
      <c r="DB17" s="4">
        <f t="shared" si="13"/>
        <v>0</v>
      </c>
      <c r="DC17" s="4">
        <f t="shared" si="13"/>
        <v>0</v>
      </c>
      <c r="DD17" s="4">
        <f t="shared" si="13"/>
        <v>0</v>
      </c>
      <c r="DE17" s="4">
        <f t="shared" si="13"/>
        <v>0</v>
      </c>
      <c r="DF17" s="4">
        <f t="shared" si="13"/>
        <v>0</v>
      </c>
      <c r="DG17" s="4">
        <f t="shared" si="13"/>
        <v>0</v>
      </c>
      <c r="DI17" t="s">
        <v>21</v>
      </c>
      <c r="DJ17" s="4">
        <f>AVERAGE(BG17:BS17)</f>
        <v>0.92307692307692313</v>
      </c>
      <c r="DK17" s="4">
        <f>AVERAGE(BT17:CF17)</f>
        <v>0.5</v>
      </c>
      <c r="DL17" s="4">
        <f>AVERAGE(CG17:CS17)</f>
        <v>0.84615384615384615</v>
      </c>
      <c r="DM17" s="4">
        <f>AVERAGE(CT17:DG17)</f>
        <v>0</v>
      </c>
    </row>
    <row r="18" spans="2:117" x14ac:dyDescent="0.2">
      <c r="B18" s="9"/>
      <c r="C18" t="s">
        <v>22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F18" t="s">
        <v>23</v>
      </c>
      <c r="BG18" s="4">
        <f t="shared" ref="BG18:CL18" si="14">(D15-D18)/D15</f>
        <v>1</v>
      </c>
      <c r="BH18" s="4">
        <f t="shared" si="14"/>
        <v>1</v>
      </c>
      <c r="BI18" s="4">
        <f t="shared" si="14"/>
        <v>1</v>
      </c>
      <c r="BJ18" s="4">
        <f t="shared" si="14"/>
        <v>1</v>
      </c>
      <c r="BK18" s="4">
        <f t="shared" si="14"/>
        <v>1</v>
      </c>
      <c r="BL18" s="4">
        <f t="shared" si="14"/>
        <v>1</v>
      </c>
      <c r="BM18" s="4">
        <f t="shared" si="14"/>
        <v>1</v>
      </c>
      <c r="BN18" s="4">
        <f t="shared" si="14"/>
        <v>1</v>
      </c>
      <c r="BO18" s="4">
        <f t="shared" si="14"/>
        <v>1</v>
      </c>
      <c r="BP18" s="4">
        <f t="shared" si="14"/>
        <v>1</v>
      </c>
      <c r="BQ18" s="4">
        <f t="shared" si="14"/>
        <v>1</v>
      </c>
      <c r="BR18" s="4">
        <f t="shared" si="14"/>
        <v>1</v>
      </c>
      <c r="BS18" s="4">
        <f t="shared" si="14"/>
        <v>1</v>
      </c>
      <c r="BT18" s="4">
        <f t="shared" si="14"/>
        <v>1</v>
      </c>
      <c r="BU18" s="4">
        <f t="shared" si="14"/>
        <v>1</v>
      </c>
      <c r="BV18" s="4">
        <f t="shared" si="14"/>
        <v>1</v>
      </c>
      <c r="BW18" s="4">
        <f t="shared" si="14"/>
        <v>1</v>
      </c>
      <c r="BX18" s="4">
        <f t="shared" si="14"/>
        <v>1</v>
      </c>
      <c r="BY18" s="4">
        <f t="shared" si="14"/>
        <v>1</v>
      </c>
      <c r="BZ18" s="4">
        <f t="shared" si="14"/>
        <v>1</v>
      </c>
      <c r="CA18" s="4">
        <f t="shared" si="14"/>
        <v>1</v>
      </c>
      <c r="CB18" s="4">
        <f t="shared" si="14"/>
        <v>1</v>
      </c>
      <c r="CC18" s="4">
        <f t="shared" si="14"/>
        <v>1</v>
      </c>
      <c r="CD18" s="4">
        <f t="shared" si="14"/>
        <v>1</v>
      </c>
      <c r="CE18" s="4">
        <f t="shared" si="14"/>
        <v>1</v>
      </c>
      <c r="CF18" s="4">
        <f t="shared" si="14"/>
        <v>1</v>
      </c>
      <c r="CG18" s="4">
        <f t="shared" si="14"/>
        <v>1</v>
      </c>
      <c r="CH18" s="4">
        <f t="shared" si="14"/>
        <v>1</v>
      </c>
      <c r="CI18" s="4">
        <f t="shared" si="14"/>
        <v>1</v>
      </c>
      <c r="CJ18" s="4">
        <f t="shared" si="14"/>
        <v>1</v>
      </c>
      <c r="CK18" s="4">
        <f t="shared" si="14"/>
        <v>1</v>
      </c>
      <c r="CL18" s="4">
        <f t="shared" si="14"/>
        <v>1</v>
      </c>
      <c r="CM18" s="4">
        <f t="shared" ref="CM18:DR18" si="15">(AJ15-AJ18)/AJ15</f>
        <v>1</v>
      </c>
      <c r="CN18" s="4">
        <f t="shared" si="15"/>
        <v>1</v>
      </c>
      <c r="CO18" s="4">
        <f t="shared" si="15"/>
        <v>1</v>
      </c>
      <c r="CP18" s="4">
        <f t="shared" si="15"/>
        <v>1</v>
      </c>
      <c r="CQ18" s="4">
        <f t="shared" si="15"/>
        <v>1</v>
      </c>
      <c r="CR18" s="4">
        <f t="shared" si="15"/>
        <v>1</v>
      </c>
      <c r="CS18" s="4">
        <f t="shared" si="15"/>
        <v>1</v>
      </c>
      <c r="CT18" s="4" t="e">
        <f t="shared" si="15"/>
        <v>#DIV/0!</v>
      </c>
      <c r="CU18" s="4" t="e">
        <f t="shared" si="15"/>
        <v>#DIV/0!</v>
      </c>
      <c r="CV18" s="4" t="e">
        <f t="shared" si="15"/>
        <v>#DIV/0!</v>
      </c>
      <c r="CW18" s="4" t="e">
        <f t="shared" si="15"/>
        <v>#DIV/0!</v>
      </c>
      <c r="CX18" s="4" t="e">
        <f t="shared" si="15"/>
        <v>#DIV/0!</v>
      </c>
      <c r="CY18" s="4" t="e">
        <f t="shared" si="15"/>
        <v>#DIV/0!</v>
      </c>
      <c r="CZ18" s="4" t="e">
        <f t="shared" si="15"/>
        <v>#DIV/0!</v>
      </c>
      <c r="DA18" s="4" t="e">
        <f t="shared" si="15"/>
        <v>#DIV/0!</v>
      </c>
      <c r="DB18" s="4" t="e">
        <f t="shared" si="15"/>
        <v>#DIV/0!</v>
      </c>
      <c r="DC18" s="4" t="e">
        <f t="shared" si="15"/>
        <v>#DIV/0!</v>
      </c>
      <c r="DD18" s="4" t="e">
        <f t="shared" si="15"/>
        <v>#DIV/0!</v>
      </c>
      <c r="DE18" s="4" t="e">
        <f t="shared" si="15"/>
        <v>#DIV/0!</v>
      </c>
      <c r="DF18" s="4" t="e">
        <f t="shared" si="15"/>
        <v>#DIV/0!</v>
      </c>
      <c r="DG18" s="4" t="e">
        <f t="shared" si="15"/>
        <v>#DIV/0!</v>
      </c>
      <c r="DI18" t="s">
        <v>23</v>
      </c>
      <c r="DJ18" s="4">
        <f>AVERAGE(BG18:BS18)</f>
        <v>1</v>
      </c>
      <c r="DK18" s="4">
        <f>AVERAGE(BT18:CF18)</f>
        <v>1</v>
      </c>
      <c r="DL18" s="4">
        <f>AVERAGE(CG18:CS18)</f>
        <v>1</v>
      </c>
      <c r="DM18" s="4" t="e">
        <f>AVERAGE(CT18:DG18)</f>
        <v>#DIV/0!</v>
      </c>
    </row>
    <row r="19" spans="2:117" x14ac:dyDescent="0.2">
      <c r="B19" s="9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</row>
    <row r="20" spans="2:117" x14ac:dyDescent="0.2">
      <c r="B20" s="9"/>
      <c r="C20" t="s">
        <v>24</v>
      </c>
      <c r="D20" s="7">
        <v>9</v>
      </c>
      <c r="E20" s="7">
        <v>9</v>
      </c>
      <c r="F20" s="7">
        <v>9</v>
      </c>
      <c r="G20" s="7">
        <v>9</v>
      </c>
      <c r="H20" s="7">
        <v>9</v>
      </c>
      <c r="I20" s="7">
        <v>9</v>
      </c>
      <c r="J20" s="7">
        <v>9</v>
      </c>
      <c r="K20" s="7">
        <v>9</v>
      </c>
      <c r="L20" s="7">
        <v>9</v>
      </c>
      <c r="M20" s="7">
        <v>9</v>
      </c>
      <c r="N20" s="7">
        <v>9</v>
      </c>
      <c r="O20" s="7">
        <v>9</v>
      </c>
      <c r="P20" s="7">
        <v>9</v>
      </c>
      <c r="Q20" s="7">
        <v>9</v>
      </c>
      <c r="R20" s="7">
        <v>9</v>
      </c>
      <c r="S20" s="7">
        <v>9</v>
      </c>
      <c r="T20" s="7">
        <v>9</v>
      </c>
      <c r="U20" s="7">
        <v>9</v>
      </c>
      <c r="V20" s="7">
        <v>9</v>
      </c>
      <c r="W20" s="7">
        <v>9</v>
      </c>
      <c r="X20" s="7">
        <v>9</v>
      </c>
      <c r="Y20" s="7">
        <v>9</v>
      </c>
      <c r="Z20" s="7">
        <v>9</v>
      </c>
      <c r="AA20" s="7">
        <v>9</v>
      </c>
      <c r="AB20" s="7">
        <v>9</v>
      </c>
      <c r="AC20" s="7">
        <v>9</v>
      </c>
      <c r="AD20" s="7">
        <v>9</v>
      </c>
      <c r="AE20" s="7">
        <v>9</v>
      </c>
      <c r="AF20" s="7">
        <v>9</v>
      </c>
      <c r="AG20" s="7">
        <v>9</v>
      </c>
      <c r="AH20" s="7">
        <v>9</v>
      </c>
      <c r="AI20" s="7">
        <v>9</v>
      </c>
      <c r="AJ20" s="7">
        <v>9</v>
      </c>
      <c r="AK20" s="7">
        <v>9</v>
      </c>
      <c r="AL20" s="7">
        <v>9</v>
      </c>
      <c r="AM20" s="7">
        <v>9</v>
      </c>
      <c r="AN20" s="7">
        <v>9</v>
      </c>
      <c r="AO20" s="7">
        <v>9</v>
      </c>
      <c r="AP20" s="7">
        <v>9</v>
      </c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</row>
    <row r="21" spans="2:117" x14ac:dyDescent="0.2">
      <c r="B21" s="9"/>
      <c r="C21" t="s">
        <v>25</v>
      </c>
      <c r="D21" s="7">
        <v>8</v>
      </c>
      <c r="E21" s="7">
        <v>8</v>
      </c>
      <c r="F21" s="7">
        <v>8</v>
      </c>
      <c r="G21" s="7">
        <v>8</v>
      </c>
      <c r="H21" s="7">
        <v>8</v>
      </c>
      <c r="I21" s="7">
        <v>9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9</v>
      </c>
      <c r="AI21" s="7">
        <v>9</v>
      </c>
      <c r="AJ21" s="7">
        <v>9</v>
      </c>
      <c r="AK21" s="7">
        <v>9</v>
      </c>
      <c r="AL21" s="7">
        <v>9</v>
      </c>
      <c r="AM21" s="7">
        <v>9</v>
      </c>
      <c r="AN21" s="7">
        <v>9</v>
      </c>
      <c r="AO21" s="7">
        <v>9</v>
      </c>
      <c r="AP21" s="7">
        <v>9</v>
      </c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F21" t="s">
        <v>26</v>
      </c>
      <c r="BG21" s="4">
        <f t="shared" ref="BG21:CL21" si="16">D21/(D20-D23)</f>
        <v>1</v>
      </c>
      <c r="BH21" s="4">
        <f t="shared" si="16"/>
        <v>1</v>
      </c>
      <c r="BI21" s="4">
        <f t="shared" si="16"/>
        <v>1</v>
      </c>
      <c r="BJ21" s="4">
        <f t="shared" si="16"/>
        <v>1</v>
      </c>
      <c r="BK21" s="4">
        <f t="shared" si="16"/>
        <v>1</v>
      </c>
      <c r="BL21" s="4">
        <f t="shared" si="16"/>
        <v>1</v>
      </c>
      <c r="BM21" s="4">
        <f t="shared" si="16"/>
        <v>0</v>
      </c>
      <c r="BN21" s="4">
        <f t="shared" si="16"/>
        <v>0</v>
      </c>
      <c r="BO21" s="4">
        <f t="shared" si="16"/>
        <v>0</v>
      </c>
      <c r="BP21" s="4">
        <f t="shared" si="16"/>
        <v>0</v>
      </c>
      <c r="BQ21" s="4">
        <f t="shared" si="16"/>
        <v>0</v>
      </c>
      <c r="BR21" s="4">
        <f t="shared" si="16"/>
        <v>0</v>
      </c>
      <c r="BS21" s="4">
        <f t="shared" si="16"/>
        <v>0</v>
      </c>
      <c r="BT21" s="4">
        <f t="shared" si="16"/>
        <v>0</v>
      </c>
      <c r="BU21" s="4">
        <f t="shared" si="16"/>
        <v>0</v>
      </c>
      <c r="BV21" s="4">
        <f t="shared" si="16"/>
        <v>0</v>
      </c>
      <c r="BW21" s="4">
        <f t="shared" si="16"/>
        <v>0</v>
      </c>
      <c r="BX21" s="4">
        <f t="shared" si="16"/>
        <v>0</v>
      </c>
      <c r="BY21" s="4">
        <f t="shared" si="16"/>
        <v>0</v>
      </c>
      <c r="BZ21" s="4">
        <f t="shared" si="16"/>
        <v>0</v>
      </c>
      <c r="CA21" s="4">
        <f t="shared" si="16"/>
        <v>0</v>
      </c>
      <c r="CB21" s="4">
        <f t="shared" si="16"/>
        <v>0</v>
      </c>
      <c r="CC21" s="4">
        <f t="shared" si="16"/>
        <v>0</v>
      </c>
      <c r="CD21" s="4">
        <f t="shared" si="16"/>
        <v>0</v>
      </c>
      <c r="CE21" s="4">
        <f t="shared" si="16"/>
        <v>0</v>
      </c>
      <c r="CF21" s="4">
        <f t="shared" si="16"/>
        <v>0</v>
      </c>
      <c r="CG21" s="4">
        <f t="shared" si="16"/>
        <v>0</v>
      </c>
      <c r="CH21" s="4">
        <f t="shared" si="16"/>
        <v>0</v>
      </c>
      <c r="CI21" s="4">
        <f t="shared" si="16"/>
        <v>0</v>
      </c>
      <c r="CJ21" s="4">
        <f t="shared" si="16"/>
        <v>0</v>
      </c>
      <c r="CK21" s="4">
        <f t="shared" si="16"/>
        <v>1</v>
      </c>
      <c r="CL21" s="4">
        <f t="shared" si="16"/>
        <v>1</v>
      </c>
      <c r="CM21" s="4">
        <f t="shared" ref="CM21:DR21" si="17">AJ21/(AJ20-AJ23)</f>
        <v>1</v>
      </c>
      <c r="CN21" s="4">
        <f t="shared" si="17"/>
        <v>1</v>
      </c>
      <c r="CO21" s="4">
        <f t="shared" si="17"/>
        <v>1</v>
      </c>
      <c r="CP21" s="4">
        <f t="shared" si="17"/>
        <v>1</v>
      </c>
      <c r="CQ21" s="4">
        <f t="shared" si="17"/>
        <v>1</v>
      </c>
      <c r="CR21" s="4">
        <f t="shared" si="17"/>
        <v>1</v>
      </c>
      <c r="CS21" s="4">
        <f t="shared" si="17"/>
        <v>1</v>
      </c>
      <c r="CT21" s="4" t="e">
        <f t="shared" si="17"/>
        <v>#DIV/0!</v>
      </c>
      <c r="CU21" s="4" t="e">
        <f t="shared" si="17"/>
        <v>#DIV/0!</v>
      </c>
      <c r="CV21" s="4" t="e">
        <f t="shared" si="17"/>
        <v>#DIV/0!</v>
      </c>
      <c r="CW21" s="4" t="e">
        <f t="shared" si="17"/>
        <v>#DIV/0!</v>
      </c>
      <c r="CX21" s="4" t="e">
        <f t="shared" si="17"/>
        <v>#DIV/0!</v>
      </c>
      <c r="CY21" s="4" t="e">
        <f t="shared" si="17"/>
        <v>#DIV/0!</v>
      </c>
      <c r="CZ21" s="4" t="e">
        <f t="shared" si="17"/>
        <v>#DIV/0!</v>
      </c>
      <c r="DA21" s="4" t="e">
        <f t="shared" si="17"/>
        <v>#DIV/0!</v>
      </c>
      <c r="DB21" s="4" t="e">
        <f t="shared" si="17"/>
        <v>#DIV/0!</v>
      </c>
      <c r="DC21" s="4" t="e">
        <f t="shared" si="17"/>
        <v>#DIV/0!</v>
      </c>
      <c r="DD21" s="4" t="e">
        <f t="shared" si="17"/>
        <v>#DIV/0!</v>
      </c>
      <c r="DE21" s="4" t="e">
        <f t="shared" si="17"/>
        <v>#DIV/0!</v>
      </c>
      <c r="DF21" s="4" t="e">
        <f t="shared" si="17"/>
        <v>#DIV/0!</v>
      </c>
      <c r="DG21" s="4" t="e">
        <f t="shared" si="17"/>
        <v>#DIV/0!</v>
      </c>
      <c r="DI21" t="s">
        <v>26</v>
      </c>
      <c r="DJ21" s="4">
        <f>AVERAGE(BG21:BS21)</f>
        <v>0.46153846153846156</v>
      </c>
      <c r="DK21" s="4">
        <f>AVERAGE(BT21:CF21)</f>
        <v>0</v>
      </c>
      <c r="DL21" s="4">
        <f>AVERAGE(CG21:CS21)</f>
        <v>0.69230769230769229</v>
      </c>
      <c r="DM21" s="4" t="e">
        <f>AVERAGE(CT21:DG21)</f>
        <v>#DIV/0!</v>
      </c>
    </row>
    <row r="22" spans="2:117" x14ac:dyDescent="0.2">
      <c r="B22" s="9"/>
      <c r="C22" t="s">
        <v>27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9</v>
      </c>
      <c r="K22" s="7">
        <v>9</v>
      </c>
      <c r="L22" s="7">
        <v>9</v>
      </c>
      <c r="M22" s="7">
        <v>9</v>
      </c>
      <c r="N22" s="7">
        <v>9</v>
      </c>
      <c r="O22" s="7">
        <v>9</v>
      </c>
      <c r="P22" s="7">
        <v>9</v>
      </c>
      <c r="Q22" s="7">
        <v>9</v>
      </c>
      <c r="R22" s="7">
        <v>9</v>
      </c>
      <c r="S22" s="7">
        <v>9</v>
      </c>
      <c r="T22" s="7">
        <v>9</v>
      </c>
      <c r="U22" s="7">
        <v>9</v>
      </c>
      <c r="V22" s="7">
        <v>9</v>
      </c>
      <c r="W22" s="7">
        <v>9</v>
      </c>
      <c r="X22" s="7">
        <v>9</v>
      </c>
      <c r="Y22" s="7">
        <v>9</v>
      </c>
      <c r="Z22" s="7">
        <v>9</v>
      </c>
      <c r="AA22" s="7">
        <v>9</v>
      </c>
      <c r="AB22" s="7">
        <v>9</v>
      </c>
      <c r="AC22" s="7">
        <v>9</v>
      </c>
      <c r="AD22" s="7">
        <v>9</v>
      </c>
      <c r="AE22" s="7">
        <v>9</v>
      </c>
      <c r="AF22" s="7">
        <v>9</v>
      </c>
      <c r="AG22" s="7">
        <v>9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F22" t="s">
        <v>28</v>
      </c>
      <c r="BG22" s="4">
        <f t="shared" ref="BG22:CL22" si="18">IF(D21=0,0,(D21-D22)/D21)</f>
        <v>1</v>
      </c>
      <c r="BH22" s="4">
        <f t="shared" si="18"/>
        <v>1</v>
      </c>
      <c r="BI22" s="4">
        <f t="shared" si="18"/>
        <v>1</v>
      </c>
      <c r="BJ22" s="4">
        <f t="shared" si="18"/>
        <v>1</v>
      </c>
      <c r="BK22" s="4">
        <f t="shared" si="18"/>
        <v>1</v>
      </c>
      <c r="BL22" s="4">
        <f t="shared" si="18"/>
        <v>1</v>
      </c>
      <c r="BM22" s="4">
        <f t="shared" si="18"/>
        <v>0</v>
      </c>
      <c r="BN22" s="4">
        <f t="shared" si="18"/>
        <v>0</v>
      </c>
      <c r="BO22" s="4">
        <f t="shared" si="18"/>
        <v>0</v>
      </c>
      <c r="BP22" s="4">
        <f t="shared" si="18"/>
        <v>0</v>
      </c>
      <c r="BQ22" s="4">
        <f t="shared" si="18"/>
        <v>0</v>
      </c>
      <c r="BR22" s="4">
        <f t="shared" si="18"/>
        <v>0</v>
      </c>
      <c r="BS22" s="4">
        <f t="shared" si="18"/>
        <v>0</v>
      </c>
      <c r="BT22" s="4">
        <f t="shared" si="18"/>
        <v>0</v>
      </c>
      <c r="BU22" s="4">
        <f t="shared" si="18"/>
        <v>0</v>
      </c>
      <c r="BV22" s="4">
        <f t="shared" si="18"/>
        <v>0</v>
      </c>
      <c r="BW22" s="4">
        <f t="shared" si="18"/>
        <v>0</v>
      </c>
      <c r="BX22" s="4">
        <f t="shared" si="18"/>
        <v>0</v>
      </c>
      <c r="BY22" s="4">
        <f t="shared" si="18"/>
        <v>0</v>
      </c>
      <c r="BZ22" s="4">
        <f t="shared" si="18"/>
        <v>0</v>
      </c>
      <c r="CA22" s="4">
        <f t="shared" si="18"/>
        <v>0</v>
      </c>
      <c r="CB22" s="4">
        <f t="shared" si="18"/>
        <v>0</v>
      </c>
      <c r="CC22" s="4">
        <f t="shared" si="18"/>
        <v>0</v>
      </c>
      <c r="CD22" s="4">
        <f t="shared" si="18"/>
        <v>0</v>
      </c>
      <c r="CE22" s="4">
        <f t="shared" si="18"/>
        <v>0</v>
      </c>
      <c r="CF22" s="4">
        <f t="shared" si="18"/>
        <v>0</v>
      </c>
      <c r="CG22" s="4">
        <f t="shared" si="18"/>
        <v>0</v>
      </c>
      <c r="CH22" s="4">
        <f t="shared" si="18"/>
        <v>0</v>
      </c>
      <c r="CI22" s="4">
        <f t="shared" si="18"/>
        <v>0</v>
      </c>
      <c r="CJ22" s="4">
        <f t="shared" si="18"/>
        <v>0</v>
      </c>
      <c r="CK22" s="4">
        <f t="shared" si="18"/>
        <v>1</v>
      </c>
      <c r="CL22" s="4">
        <f t="shared" si="18"/>
        <v>1</v>
      </c>
      <c r="CM22" s="4">
        <f t="shared" ref="CM22:DR22" si="19">IF(AJ21=0,0,(AJ21-AJ22)/AJ21)</f>
        <v>1</v>
      </c>
      <c r="CN22" s="4">
        <f t="shared" si="19"/>
        <v>1</v>
      </c>
      <c r="CO22" s="4">
        <f t="shared" si="19"/>
        <v>1</v>
      </c>
      <c r="CP22" s="4">
        <f t="shared" si="19"/>
        <v>1</v>
      </c>
      <c r="CQ22" s="4">
        <f t="shared" si="19"/>
        <v>1</v>
      </c>
      <c r="CR22" s="4">
        <f t="shared" si="19"/>
        <v>1</v>
      </c>
      <c r="CS22" s="4">
        <f t="shared" si="19"/>
        <v>1</v>
      </c>
      <c r="CT22" s="4">
        <f t="shared" si="19"/>
        <v>0</v>
      </c>
      <c r="CU22" s="4">
        <f t="shared" si="19"/>
        <v>0</v>
      </c>
      <c r="CV22" s="4">
        <f t="shared" si="19"/>
        <v>0</v>
      </c>
      <c r="CW22" s="4">
        <f t="shared" si="19"/>
        <v>0</v>
      </c>
      <c r="CX22" s="4">
        <f t="shared" si="19"/>
        <v>0</v>
      </c>
      <c r="CY22" s="4">
        <f t="shared" si="19"/>
        <v>0</v>
      </c>
      <c r="CZ22" s="4">
        <f t="shared" si="19"/>
        <v>0</v>
      </c>
      <c r="DA22" s="4">
        <f t="shared" si="19"/>
        <v>0</v>
      </c>
      <c r="DB22" s="4">
        <f t="shared" si="19"/>
        <v>0</v>
      </c>
      <c r="DC22" s="4">
        <f t="shared" si="19"/>
        <v>0</v>
      </c>
      <c r="DD22" s="4">
        <f t="shared" si="19"/>
        <v>0</v>
      </c>
      <c r="DE22" s="4">
        <f t="shared" si="19"/>
        <v>0</v>
      </c>
      <c r="DF22" s="4">
        <f t="shared" si="19"/>
        <v>0</v>
      </c>
      <c r="DG22" s="4">
        <f t="shared" si="19"/>
        <v>0</v>
      </c>
      <c r="DI22" t="s">
        <v>28</v>
      </c>
      <c r="DJ22" s="4">
        <f>AVERAGE(BG22:BS22)</f>
        <v>0.46153846153846156</v>
      </c>
      <c r="DK22" s="4">
        <f>AVERAGE(BT22:CF22)</f>
        <v>0</v>
      </c>
      <c r="DL22" s="4">
        <f>AVERAGE(CG22:CS22)</f>
        <v>0.69230769230769229</v>
      </c>
      <c r="DM22" s="4">
        <f>AVERAGE(CT22:DG22)</f>
        <v>0</v>
      </c>
    </row>
    <row r="23" spans="2:117" x14ac:dyDescent="0.2">
      <c r="B23" s="9"/>
      <c r="C23" t="s">
        <v>29</v>
      </c>
      <c r="D23" s="7">
        <v>1</v>
      </c>
      <c r="E23" s="7">
        <v>1</v>
      </c>
      <c r="F23" s="7">
        <v>1</v>
      </c>
      <c r="G23" s="7">
        <v>1</v>
      </c>
      <c r="H23" s="7">
        <v>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F23" t="s">
        <v>30</v>
      </c>
      <c r="BG23" s="4">
        <f t="shared" ref="BG23:CL23" si="20">(D20-D23)/D20</f>
        <v>0.88888888888888884</v>
      </c>
      <c r="BH23" s="4">
        <f t="shared" si="20"/>
        <v>0.88888888888888884</v>
      </c>
      <c r="BI23" s="4">
        <f t="shared" si="20"/>
        <v>0.88888888888888884</v>
      </c>
      <c r="BJ23" s="4">
        <f t="shared" si="20"/>
        <v>0.88888888888888884</v>
      </c>
      <c r="BK23" s="4">
        <f t="shared" si="20"/>
        <v>0.88888888888888884</v>
      </c>
      <c r="BL23" s="4">
        <f t="shared" si="20"/>
        <v>1</v>
      </c>
      <c r="BM23" s="4">
        <f t="shared" si="20"/>
        <v>1</v>
      </c>
      <c r="BN23" s="4">
        <f t="shared" si="20"/>
        <v>1</v>
      </c>
      <c r="BO23" s="4">
        <f t="shared" si="20"/>
        <v>1</v>
      </c>
      <c r="BP23" s="4">
        <f t="shared" si="20"/>
        <v>1</v>
      </c>
      <c r="BQ23" s="4">
        <f t="shared" si="20"/>
        <v>1</v>
      </c>
      <c r="BR23" s="4">
        <f t="shared" si="20"/>
        <v>1</v>
      </c>
      <c r="BS23" s="4">
        <f t="shared" si="20"/>
        <v>1</v>
      </c>
      <c r="BT23" s="4">
        <f t="shared" si="20"/>
        <v>1</v>
      </c>
      <c r="BU23" s="4">
        <f t="shared" si="20"/>
        <v>1</v>
      </c>
      <c r="BV23" s="4">
        <f t="shared" si="20"/>
        <v>1</v>
      </c>
      <c r="BW23" s="4">
        <f t="shared" si="20"/>
        <v>1</v>
      </c>
      <c r="BX23" s="4">
        <f t="shared" si="20"/>
        <v>1</v>
      </c>
      <c r="BY23" s="4">
        <f t="shared" si="20"/>
        <v>1</v>
      </c>
      <c r="BZ23" s="4">
        <f t="shared" si="20"/>
        <v>1</v>
      </c>
      <c r="CA23" s="4">
        <f t="shared" si="20"/>
        <v>1</v>
      </c>
      <c r="CB23" s="4">
        <f t="shared" si="20"/>
        <v>1</v>
      </c>
      <c r="CC23" s="4">
        <f t="shared" si="20"/>
        <v>1</v>
      </c>
      <c r="CD23" s="4">
        <f t="shared" si="20"/>
        <v>1</v>
      </c>
      <c r="CE23" s="4">
        <f t="shared" si="20"/>
        <v>1</v>
      </c>
      <c r="CF23" s="4">
        <f t="shared" si="20"/>
        <v>1</v>
      </c>
      <c r="CG23" s="4">
        <f t="shared" si="20"/>
        <v>1</v>
      </c>
      <c r="CH23" s="4">
        <f t="shared" si="20"/>
        <v>1</v>
      </c>
      <c r="CI23" s="4">
        <f t="shared" si="20"/>
        <v>1</v>
      </c>
      <c r="CJ23" s="4">
        <f t="shared" si="20"/>
        <v>1</v>
      </c>
      <c r="CK23" s="4">
        <f t="shared" si="20"/>
        <v>1</v>
      </c>
      <c r="CL23" s="4">
        <f t="shared" si="20"/>
        <v>1</v>
      </c>
      <c r="CM23" s="4">
        <f t="shared" ref="CM23:DR23" si="21">(AJ20-AJ23)/AJ20</f>
        <v>1</v>
      </c>
      <c r="CN23" s="4">
        <f t="shared" si="21"/>
        <v>1</v>
      </c>
      <c r="CO23" s="4">
        <f t="shared" si="21"/>
        <v>1</v>
      </c>
      <c r="CP23" s="4">
        <f t="shared" si="21"/>
        <v>1</v>
      </c>
      <c r="CQ23" s="4">
        <f t="shared" si="21"/>
        <v>1</v>
      </c>
      <c r="CR23" s="4">
        <f t="shared" si="21"/>
        <v>1</v>
      </c>
      <c r="CS23" s="4">
        <f t="shared" si="21"/>
        <v>1</v>
      </c>
      <c r="CT23" s="4" t="e">
        <f t="shared" si="21"/>
        <v>#DIV/0!</v>
      </c>
      <c r="CU23" s="4" t="e">
        <f t="shared" si="21"/>
        <v>#DIV/0!</v>
      </c>
      <c r="CV23" s="4" t="e">
        <f t="shared" si="21"/>
        <v>#DIV/0!</v>
      </c>
      <c r="CW23" s="4" t="e">
        <f t="shared" si="21"/>
        <v>#DIV/0!</v>
      </c>
      <c r="CX23" s="4" t="e">
        <f t="shared" si="21"/>
        <v>#DIV/0!</v>
      </c>
      <c r="CY23" s="4" t="e">
        <f t="shared" si="21"/>
        <v>#DIV/0!</v>
      </c>
      <c r="CZ23" s="4" t="e">
        <f t="shared" si="21"/>
        <v>#DIV/0!</v>
      </c>
      <c r="DA23" s="4" t="e">
        <f t="shared" si="21"/>
        <v>#DIV/0!</v>
      </c>
      <c r="DB23" s="4" t="e">
        <f t="shared" si="21"/>
        <v>#DIV/0!</v>
      </c>
      <c r="DC23" s="4" t="e">
        <f t="shared" si="21"/>
        <v>#DIV/0!</v>
      </c>
      <c r="DD23" s="4" t="e">
        <f t="shared" si="21"/>
        <v>#DIV/0!</v>
      </c>
      <c r="DE23" s="4" t="e">
        <f t="shared" si="21"/>
        <v>#DIV/0!</v>
      </c>
      <c r="DF23" s="4" t="e">
        <f t="shared" si="21"/>
        <v>#DIV/0!</v>
      </c>
      <c r="DG23" s="4" t="e">
        <f t="shared" si="21"/>
        <v>#DIV/0!</v>
      </c>
      <c r="DI23" t="s">
        <v>30</v>
      </c>
      <c r="DJ23" s="4">
        <f>AVERAGE(BG23:BS23)</f>
        <v>0.95726495726495731</v>
      </c>
      <c r="DK23" s="4">
        <f>AVERAGE(BT23:CF23)</f>
        <v>1</v>
      </c>
      <c r="DL23" s="4">
        <f>AVERAGE(CG23:CS23)</f>
        <v>1</v>
      </c>
      <c r="DM23" s="4" t="e">
        <f>AVERAGE(CT23:DG23)</f>
        <v>#DIV/0!</v>
      </c>
    </row>
    <row r="24" spans="2:117" x14ac:dyDescent="0.2">
      <c r="B24" s="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</row>
    <row r="25" spans="2:117" x14ac:dyDescent="0.2">
      <c r="B25" s="9"/>
      <c r="C25" t="s">
        <v>31</v>
      </c>
      <c r="D25" s="7">
        <v>9</v>
      </c>
      <c r="E25" s="7">
        <v>9</v>
      </c>
      <c r="F25" s="7">
        <v>9</v>
      </c>
      <c r="G25" s="7">
        <v>9</v>
      </c>
      <c r="H25" s="7">
        <v>9</v>
      </c>
      <c r="I25" s="7">
        <v>9</v>
      </c>
      <c r="J25" s="7">
        <v>9</v>
      </c>
      <c r="K25" s="7">
        <v>9</v>
      </c>
      <c r="L25" s="7">
        <v>9</v>
      </c>
      <c r="M25" s="7">
        <v>9</v>
      </c>
      <c r="N25" s="7">
        <v>9</v>
      </c>
      <c r="O25" s="7">
        <v>9</v>
      </c>
      <c r="P25" s="7">
        <v>9</v>
      </c>
      <c r="Q25" s="7">
        <v>9</v>
      </c>
      <c r="R25" s="7">
        <v>9</v>
      </c>
      <c r="S25" s="7">
        <v>9</v>
      </c>
      <c r="T25" s="7">
        <v>9</v>
      </c>
      <c r="U25" s="7">
        <v>9</v>
      </c>
      <c r="V25" s="7">
        <v>9</v>
      </c>
      <c r="W25" s="7">
        <v>9</v>
      </c>
      <c r="X25" s="7">
        <v>9</v>
      </c>
      <c r="Y25" s="7">
        <v>9</v>
      </c>
      <c r="Z25" s="7">
        <v>9</v>
      </c>
      <c r="AA25" s="7">
        <v>9</v>
      </c>
      <c r="AB25" s="7">
        <v>9</v>
      </c>
      <c r="AC25" s="7">
        <v>9</v>
      </c>
      <c r="AD25" s="7">
        <v>9</v>
      </c>
      <c r="AE25" s="7">
        <v>9</v>
      </c>
      <c r="AF25" s="7">
        <v>9</v>
      </c>
      <c r="AG25" s="7">
        <v>9</v>
      </c>
      <c r="AH25" s="7">
        <v>9</v>
      </c>
      <c r="AI25" s="7">
        <v>9</v>
      </c>
      <c r="AJ25" s="7">
        <v>9</v>
      </c>
      <c r="AK25" s="7">
        <v>9</v>
      </c>
      <c r="AL25" s="7">
        <v>9</v>
      </c>
      <c r="AM25" s="7">
        <v>9</v>
      </c>
      <c r="AN25" s="7">
        <v>9</v>
      </c>
      <c r="AO25" s="7">
        <v>9</v>
      </c>
      <c r="AP25" s="7">
        <v>9</v>
      </c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</row>
    <row r="26" spans="2:117" x14ac:dyDescent="0.2">
      <c r="B26" s="9"/>
      <c r="C26" t="s">
        <v>32</v>
      </c>
      <c r="D26" s="7">
        <v>9</v>
      </c>
      <c r="E26" s="7">
        <v>9</v>
      </c>
      <c r="F26" s="7">
        <v>9</v>
      </c>
      <c r="G26" s="7">
        <v>9</v>
      </c>
      <c r="H26" s="7">
        <v>9</v>
      </c>
      <c r="I26" s="7">
        <v>9</v>
      </c>
      <c r="J26" s="7">
        <v>9</v>
      </c>
      <c r="K26" s="7">
        <v>9</v>
      </c>
      <c r="L26" s="7">
        <v>9</v>
      </c>
      <c r="M26" s="7">
        <v>9</v>
      </c>
      <c r="N26" s="7">
        <v>9</v>
      </c>
      <c r="O26" s="7">
        <v>9</v>
      </c>
      <c r="P26" s="7">
        <v>9</v>
      </c>
      <c r="Q26" s="7">
        <v>9</v>
      </c>
      <c r="R26" s="7">
        <v>9</v>
      </c>
      <c r="S26" s="7">
        <v>9</v>
      </c>
      <c r="T26" s="7">
        <v>9</v>
      </c>
      <c r="U26" s="7">
        <v>9</v>
      </c>
      <c r="V26" s="7">
        <v>9</v>
      </c>
      <c r="W26" s="7">
        <v>9</v>
      </c>
      <c r="X26" s="7">
        <v>9</v>
      </c>
      <c r="Y26" s="7">
        <v>9</v>
      </c>
      <c r="Z26" s="7">
        <v>9</v>
      </c>
      <c r="AA26" s="7">
        <v>9</v>
      </c>
      <c r="AB26" s="7">
        <v>9</v>
      </c>
      <c r="AC26" s="7">
        <v>9</v>
      </c>
      <c r="AD26" s="7">
        <v>9</v>
      </c>
      <c r="AE26" s="7">
        <v>9</v>
      </c>
      <c r="AF26" s="7">
        <v>9</v>
      </c>
      <c r="AG26" s="7">
        <v>9</v>
      </c>
      <c r="AH26" s="7">
        <v>9</v>
      </c>
      <c r="AI26" s="7">
        <v>9</v>
      </c>
      <c r="AJ26" s="7">
        <v>9</v>
      </c>
      <c r="AK26" s="7">
        <v>9</v>
      </c>
      <c r="AL26" s="7">
        <v>9</v>
      </c>
      <c r="AM26" s="7">
        <v>9</v>
      </c>
      <c r="AN26" s="7">
        <v>9</v>
      </c>
      <c r="AO26" s="7">
        <v>9</v>
      </c>
      <c r="AP26" s="7">
        <v>9</v>
      </c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F26" t="s">
        <v>33</v>
      </c>
      <c r="BG26" s="4">
        <f t="shared" ref="BG26:CL26" si="22">D26/(D25-D28)</f>
        <v>1</v>
      </c>
      <c r="BH26" s="4">
        <f t="shared" si="22"/>
        <v>1</v>
      </c>
      <c r="BI26" s="4">
        <f t="shared" si="22"/>
        <v>1</v>
      </c>
      <c r="BJ26" s="4">
        <f t="shared" si="22"/>
        <v>1</v>
      </c>
      <c r="BK26" s="4">
        <f t="shared" si="22"/>
        <v>1</v>
      </c>
      <c r="BL26" s="4">
        <f t="shared" si="22"/>
        <v>1</v>
      </c>
      <c r="BM26" s="4">
        <f t="shared" si="22"/>
        <v>1</v>
      </c>
      <c r="BN26" s="4">
        <f t="shared" si="22"/>
        <v>1</v>
      </c>
      <c r="BO26" s="4">
        <f t="shared" si="22"/>
        <v>1</v>
      </c>
      <c r="BP26" s="4">
        <f t="shared" si="22"/>
        <v>1</v>
      </c>
      <c r="BQ26" s="4">
        <f t="shared" si="22"/>
        <v>1</v>
      </c>
      <c r="BR26" s="4">
        <f t="shared" si="22"/>
        <v>1</v>
      </c>
      <c r="BS26" s="4">
        <f t="shared" si="22"/>
        <v>1</v>
      </c>
      <c r="BT26" s="4">
        <f t="shared" si="22"/>
        <v>1</v>
      </c>
      <c r="BU26" s="4">
        <f t="shared" si="22"/>
        <v>1</v>
      </c>
      <c r="BV26" s="4">
        <f t="shared" si="22"/>
        <v>1</v>
      </c>
      <c r="BW26" s="4">
        <f t="shared" si="22"/>
        <v>1</v>
      </c>
      <c r="BX26" s="4">
        <f t="shared" si="22"/>
        <v>1</v>
      </c>
      <c r="BY26" s="4">
        <f t="shared" si="22"/>
        <v>1</v>
      </c>
      <c r="BZ26" s="4">
        <f t="shared" si="22"/>
        <v>1</v>
      </c>
      <c r="CA26" s="4">
        <f t="shared" si="22"/>
        <v>1</v>
      </c>
      <c r="CB26" s="4">
        <f t="shared" si="22"/>
        <v>1</v>
      </c>
      <c r="CC26" s="4">
        <f t="shared" si="22"/>
        <v>1</v>
      </c>
      <c r="CD26" s="4">
        <f t="shared" si="22"/>
        <v>1</v>
      </c>
      <c r="CE26" s="4">
        <f t="shared" si="22"/>
        <v>1</v>
      </c>
      <c r="CF26" s="4">
        <f t="shared" si="22"/>
        <v>1</v>
      </c>
      <c r="CG26" s="4">
        <f t="shared" si="22"/>
        <v>1</v>
      </c>
      <c r="CH26" s="4">
        <f t="shared" si="22"/>
        <v>1</v>
      </c>
      <c r="CI26" s="4">
        <f t="shared" si="22"/>
        <v>1</v>
      </c>
      <c r="CJ26" s="4">
        <f t="shared" si="22"/>
        <v>1</v>
      </c>
      <c r="CK26" s="4">
        <f t="shared" si="22"/>
        <v>1</v>
      </c>
      <c r="CL26" s="4">
        <f t="shared" si="22"/>
        <v>1</v>
      </c>
      <c r="CM26" s="4">
        <f t="shared" ref="CM26:DR26" si="23">AJ26/(AJ25-AJ28)</f>
        <v>1</v>
      </c>
      <c r="CN26" s="4">
        <f t="shared" si="23"/>
        <v>1</v>
      </c>
      <c r="CO26" s="4">
        <f t="shared" si="23"/>
        <v>1</v>
      </c>
      <c r="CP26" s="4">
        <f t="shared" si="23"/>
        <v>1</v>
      </c>
      <c r="CQ26" s="4">
        <f t="shared" si="23"/>
        <v>1</v>
      </c>
      <c r="CR26" s="4">
        <f t="shared" si="23"/>
        <v>1</v>
      </c>
      <c r="CS26" s="4">
        <f t="shared" si="23"/>
        <v>1</v>
      </c>
      <c r="CT26" s="4" t="e">
        <f t="shared" si="23"/>
        <v>#DIV/0!</v>
      </c>
      <c r="CU26" s="4" t="e">
        <f t="shared" si="23"/>
        <v>#DIV/0!</v>
      </c>
      <c r="CV26" s="4" t="e">
        <f t="shared" si="23"/>
        <v>#DIV/0!</v>
      </c>
      <c r="CW26" s="4" t="e">
        <f t="shared" si="23"/>
        <v>#DIV/0!</v>
      </c>
      <c r="CX26" s="4" t="e">
        <f t="shared" si="23"/>
        <v>#DIV/0!</v>
      </c>
      <c r="CY26" s="4" t="e">
        <f t="shared" si="23"/>
        <v>#DIV/0!</v>
      </c>
      <c r="CZ26" s="4" t="e">
        <f t="shared" si="23"/>
        <v>#DIV/0!</v>
      </c>
      <c r="DA26" s="4" t="e">
        <f t="shared" si="23"/>
        <v>#DIV/0!</v>
      </c>
      <c r="DB26" s="4" t="e">
        <f t="shared" si="23"/>
        <v>#DIV/0!</v>
      </c>
      <c r="DC26" s="4" t="e">
        <f t="shared" si="23"/>
        <v>#DIV/0!</v>
      </c>
      <c r="DD26" s="4" t="e">
        <f t="shared" si="23"/>
        <v>#DIV/0!</v>
      </c>
      <c r="DE26" s="4" t="e">
        <f t="shared" si="23"/>
        <v>#DIV/0!</v>
      </c>
      <c r="DF26" s="4" t="e">
        <f t="shared" si="23"/>
        <v>#DIV/0!</v>
      </c>
      <c r="DG26" s="4" t="e">
        <f t="shared" si="23"/>
        <v>#DIV/0!</v>
      </c>
      <c r="DI26" t="s">
        <v>33</v>
      </c>
      <c r="DJ26" s="4">
        <f>AVERAGE(BG26:BS26)</f>
        <v>1</v>
      </c>
      <c r="DK26" s="4">
        <f>AVERAGE(BT26:CF26)</f>
        <v>1</v>
      </c>
      <c r="DL26" s="4">
        <f>AVERAGE(CG26:CS26)</f>
        <v>1</v>
      </c>
      <c r="DM26" s="4" t="e">
        <f>AVERAGE(CT26:DG26)</f>
        <v>#DIV/0!</v>
      </c>
    </row>
    <row r="27" spans="2:117" x14ac:dyDescent="0.2">
      <c r="B27" s="9"/>
      <c r="C27" t="s">
        <v>34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F27" t="s">
        <v>35</v>
      </c>
      <c r="BG27" s="4">
        <f t="shared" ref="BG27:CL27" si="24">IF(D26=0,0,(D26-D27)/D26)</f>
        <v>1</v>
      </c>
      <c r="BH27" s="4">
        <f t="shared" si="24"/>
        <v>1</v>
      </c>
      <c r="BI27" s="4">
        <f t="shared" si="24"/>
        <v>1</v>
      </c>
      <c r="BJ27" s="4">
        <f t="shared" si="24"/>
        <v>1</v>
      </c>
      <c r="BK27" s="4">
        <f t="shared" si="24"/>
        <v>1</v>
      </c>
      <c r="BL27" s="4">
        <f t="shared" si="24"/>
        <v>1</v>
      </c>
      <c r="BM27" s="4">
        <f t="shared" si="24"/>
        <v>1</v>
      </c>
      <c r="BN27" s="4">
        <f t="shared" si="24"/>
        <v>1</v>
      </c>
      <c r="BO27" s="4">
        <f t="shared" si="24"/>
        <v>1</v>
      </c>
      <c r="BP27" s="4">
        <f t="shared" si="24"/>
        <v>1</v>
      </c>
      <c r="BQ27" s="4">
        <f t="shared" si="24"/>
        <v>1</v>
      </c>
      <c r="BR27" s="4">
        <f t="shared" si="24"/>
        <v>1</v>
      </c>
      <c r="BS27" s="4">
        <f t="shared" si="24"/>
        <v>1</v>
      </c>
      <c r="BT27" s="4">
        <f t="shared" si="24"/>
        <v>1</v>
      </c>
      <c r="BU27" s="4">
        <f t="shared" si="24"/>
        <v>1</v>
      </c>
      <c r="BV27" s="4">
        <f t="shared" si="24"/>
        <v>1</v>
      </c>
      <c r="BW27" s="4">
        <f t="shared" si="24"/>
        <v>1</v>
      </c>
      <c r="BX27" s="4">
        <f t="shared" si="24"/>
        <v>1</v>
      </c>
      <c r="BY27" s="4">
        <f t="shared" si="24"/>
        <v>1</v>
      </c>
      <c r="BZ27" s="4">
        <f t="shared" si="24"/>
        <v>1</v>
      </c>
      <c r="CA27" s="4">
        <f t="shared" si="24"/>
        <v>1</v>
      </c>
      <c r="CB27" s="4">
        <f t="shared" si="24"/>
        <v>1</v>
      </c>
      <c r="CC27" s="4">
        <f t="shared" si="24"/>
        <v>1</v>
      </c>
      <c r="CD27" s="4">
        <f t="shared" si="24"/>
        <v>1</v>
      </c>
      <c r="CE27" s="4">
        <f t="shared" si="24"/>
        <v>1</v>
      </c>
      <c r="CF27" s="4">
        <f t="shared" si="24"/>
        <v>1</v>
      </c>
      <c r="CG27" s="4">
        <f t="shared" si="24"/>
        <v>1</v>
      </c>
      <c r="CH27" s="4">
        <f t="shared" si="24"/>
        <v>1</v>
      </c>
      <c r="CI27" s="4">
        <f t="shared" si="24"/>
        <v>1</v>
      </c>
      <c r="CJ27" s="4">
        <f t="shared" si="24"/>
        <v>1</v>
      </c>
      <c r="CK27" s="4">
        <f t="shared" si="24"/>
        <v>1</v>
      </c>
      <c r="CL27" s="4">
        <f t="shared" si="24"/>
        <v>1</v>
      </c>
      <c r="CM27" s="4">
        <f t="shared" ref="CM27:DR27" si="25">IF(AJ26=0,0,(AJ26-AJ27)/AJ26)</f>
        <v>1</v>
      </c>
      <c r="CN27" s="4">
        <f t="shared" si="25"/>
        <v>1</v>
      </c>
      <c r="CO27" s="4">
        <f t="shared" si="25"/>
        <v>1</v>
      </c>
      <c r="CP27" s="4">
        <f t="shared" si="25"/>
        <v>1</v>
      </c>
      <c r="CQ27" s="4">
        <f t="shared" si="25"/>
        <v>1</v>
      </c>
      <c r="CR27" s="4">
        <f t="shared" si="25"/>
        <v>1</v>
      </c>
      <c r="CS27" s="4">
        <f t="shared" si="25"/>
        <v>1</v>
      </c>
      <c r="CT27" s="4">
        <f t="shared" si="25"/>
        <v>0</v>
      </c>
      <c r="CU27" s="4">
        <f t="shared" si="25"/>
        <v>0</v>
      </c>
      <c r="CV27" s="4">
        <f t="shared" si="25"/>
        <v>0</v>
      </c>
      <c r="CW27" s="4">
        <f t="shared" si="25"/>
        <v>0</v>
      </c>
      <c r="CX27" s="4">
        <f t="shared" si="25"/>
        <v>0</v>
      </c>
      <c r="CY27" s="4">
        <f t="shared" si="25"/>
        <v>0</v>
      </c>
      <c r="CZ27" s="4">
        <f t="shared" si="25"/>
        <v>0</v>
      </c>
      <c r="DA27" s="4">
        <f t="shared" si="25"/>
        <v>0</v>
      </c>
      <c r="DB27" s="4">
        <f t="shared" si="25"/>
        <v>0</v>
      </c>
      <c r="DC27" s="4">
        <f t="shared" si="25"/>
        <v>0</v>
      </c>
      <c r="DD27" s="4">
        <f t="shared" si="25"/>
        <v>0</v>
      </c>
      <c r="DE27" s="4">
        <f t="shared" si="25"/>
        <v>0</v>
      </c>
      <c r="DF27" s="4">
        <f t="shared" si="25"/>
        <v>0</v>
      </c>
      <c r="DG27" s="4">
        <f t="shared" si="25"/>
        <v>0</v>
      </c>
      <c r="DI27" t="s">
        <v>35</v>
      </c>
      <c r="DJ27" s="4">
        <f>AVERAGE(BG27:BS27)</f>
        <v>1</v>
      </c>
      <c r="DK27" s="4">
        <f>AVERAGE(BT27:CF27)</f>
        <v>1</v>
      </c>
      <c r="DL27" s="4">
        <f>AVERAGE(CG27:CS27)</f>
        <v>1</v>
      </c>
      <c r="DM27" s="4">
        <f>AVERAGE(CT27:DG27)</f>
        <v>0</v>
      </c>
    </row>
    <row r="28" spans="2:117" x14ac:dyDescent="0.2">
      <c r="B28" s="9"/>
      <c r="C28" t="s">
        <v>36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F28" t="s">
        <v>37</v>
      </c>
      <c r="BG28" s="4">
        <f t="shared" ref="BG28:CL28" si="26">(D25-D28)/D25</f>
        <v>1</v>
      </c>
      <c r="BH28" s="4">
        <f t="shared" si="26"/>
        <v>1</v>
      </c>
      <c r="BI28" s="4">
        <f t="shared" si="26"/>
        <v>1</v>
      </c>
      <c r="BJ28" s="4">
        <f t="shared" si="26"/>
        <v>1</v>
      </c>
      <c r="BK28" s="4">
        <f t="shared" si="26"/>
        <v>1</v>
      </c>
      <c r="BL28" s="4">
        <f t="shared" si="26"/>
        <v>1</v>
      </c>
      <c r="BM28" s="4">
        <f t="shared" si="26"/>
        <v>1</v>
      </c>
      <c r="BN28" s="4">
        <f t="shared" si="26"/>
        <v>1</v>
      </c>
      <c r="BO28" s="4">
        <f t="shared" si="26"/>
        <v>1</v>
      </c>
      <c r="BP28" s="4">
        <f t="shared" si="26"/>
        <v>1</v>
      </c>
      <c r="BQ28" s="4">
        <f t="shared" si="26"/>
        <v>1</v>
      </c>
      <c r="BR28" s="4">
        <f t="shared" si="26"/>
        <v>1</v>
      </c>
      <c r="BS28" s="4">
        <f t="shared" si="26"/>
        <v>1</v>
      </c>
      <c r="BT28" s="4">
        <f t="shared" si="26"/>
        <v>1</v>
      </c>
      <c r="BU28" s="4">
        <f t="shared" si="26"/>
        <v>1</v>
      </c>
      <c r="BV28" s="4">
        <f t="shared" si="26"/>
        <v>1</v>
      </c>
      <c r="BW28" s="4">
        <f t="shared" si="26"/>
        <v>1</v>
      </c>
      <c r="BX28" s="4">
        <f t="shared" si="26"/>
        <v>1</v>
      </c>
      <c r="BY28" s="4">
        <f t="shared" si="26"/>
        <v>1</v>
      </c>
      <c r="BZ28" s="4">
        <f t="shared" si="26"/>
        <v>1</v>
      </c>
      <c r="CA28" s="4">
        <f t="shared" si="26"/>
        <v>1</v>
      </c>
      <c r="CB28" s="4">
        <f t="shared" si="26"/>
        <v>1</v>
      </c>
      <c r="CC28" s="4">
        <f t="shared" si="26"/>
        <v>1</v>
      </c>
      <c r="CD28" s="4">
        <f t="shared" si="26"/>
        <v>1</v>
      </c>
      <c r="CE28" s="4">
        <f t="shared" si="26"/>
        <v>1</v>
      </c>
      <c r="CF28" s="4">
        <f t="shared" si="26"/>
        <v>1</v>
      </c>
      <c r="CG28" s="4">
        <f t="shared" si="26"/>
        <v>1</v>
      </c>
      <c r="CH28" s="4">
        <f t="shared" si="26"/>
        <v>1</v>
      </c>
      <c r="CI28" s="4">
        <f t="shared" si="26"/>
        <v>1</v>
      </c>
      <c r="CJ28" s="4">
        <f t="shared" si="26"/>
        <v>1</v>
      </c>
      <c r="CK28" s="4">
        <f t="shared" si="26"/>
        <v>1</v>
      </c>
      <c r="CL28" s="4">
        <f t="shared" si="26"/>
        <v>1</v>
      </c>
      <c r="CM28" s="4">
        <f t="shared" ref="CM28:DR28" si="27">(AJ25-AJ28)/AJ25</f>
        <v>1</v>
      </c>
      <c r="CN28" s="4">
        <f t="shared" si="27"/>
        <v>1</v>
      </c>
      <c r="CO28" s="4">
        <f t="shared" si="27"/>
        <v>1</v>
      </c>
      <c r="CP28" s="4">
        <f t="shared" si="27"/>
        <v>1</v>
      </c>
      <c r="CQ28" s="4">
        <f t="shared" si="27"/>
        <v>1</v>
      </c>
      <c r="CR28" s="4">
        <f t="shared" si="27"/>
        <v>1</v>
      </c>
      <c r="CS28" s="4">
        <f t="shared" si="27"/>
        <v>1</v>
      </c>
      <c r="CT28" s="4" t="e">
        <f t="shared" si="27"/>
        <v>#DIV/0!</v>
      </c>
      <c r="CU28" s="4" t="e">
        <f t="shared" si="27"/>
        <v>#DIV/0!</v>
      </c>
      <c r="CV28" s="4" t="e">
        <f t="shared" si="27"/>
        <v>#DIV/0!</v>
      </c>
      <c r="CW28" s="4" t="e">
        <f t="shared" si="27"/>
        <v>#DIV/0!</v>
      </c>
      <c r="CX28" s="4" t="e">
        <f t="shared" si="27"/>
        <v>#DIV/0!</v>
      </c>
      <c r="CY28" s="4" t="e">
        <f t="shared" si="27"/>
        <v>#DIV/0!</v>
      </c>
      <c r="CZ28" s="4" t="e">
        <f t="shared" si="27"/>
        <v>#DIV/0!</v>
      </c>
      <c r="DA28" s="4" t="e">
        <f t="shared" si="27"/>
        <v>#DIV/0!</v>
      </c>
      <c r="DB28" s="4" t="e">
        <f t="shared" si="27"/>
        <v>#DIV/0!</v>
      </c>
      <c r="DC28" s="4" t="e">
        <f t="shared" si="27"/>
        <v>#DIV/0!</v>
      </c>
      <c r="DD28" s="4" t="e">
        <f t="shared" si="27"/>
        <v>#DIV/0!</v>
      </c>
      <c r="DE28" s="4" t="e">
        <f t="shared" si="27"/>
        <v>#DIV/0!</v>
      </c>
      <c r="DF28" s="4" t="e">
        <f t="shared" si="27"/>
        <v>#DIV/0!</v>
      </c>
      <c r="DG28" s="4" t="e">
        <f t="shared" si="27"/>
        <v>#DIV/0!</v>
      </c>
      <c r="DI28" t="s">
        <v>37</v>
      </c>
      <c r="DJ28" s="4">
        <f>AVERAGE(BG28:BS28)</f>
        <v>1</v>
      </c>
      <c r="DK28" s="4">
        <f>AVERAGE(BT28:CF28)</f>
        <v>1</v>
      </c>
      <c r="DL28" s="4">
        <f>AVERAGE(CG28:CS28)</f>
        <v>1</v>
      </c>
      <c r="DM28" s="4" t="e">
        <f>AVERAGE(CT28:DG28)</f>
        <v>#DIV/0!</v>
      </c>
    </row>
    <row r="29" spans="2:117" x14ac:dyDescent="0.2">
      <c r="B29" s="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</row>
    <row r="30" spans="2:117" x14ac:dyDescent="0.2">
      <c r="B30" s="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</row>
    <row r="31" spans="2:117" x14ac:dyDescent="0.2">
      <c r="B31" s="9" t="s">
        <v>38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</row>
    <row r="32" spans="2:117" x14ac:dyDescent="0.2">
      <c r="B32" s="9"/>
      <c r="C32" t="s">
        <v>39</v>
      </c>
      <c r="D32" s="7">
        <v>0.97</v>
      </c>
      <c r="E32" s="7">
        <v>0.98</v>
      </c>
      <c r="F32" s="7">
        <v>0.94</v>
      </c>
      <c r="G32" s="7">
        <v>0.98</v>
      </c>
      <c r="H32" s="7">
        <v>0.98</v>
      </c>
      <c r="I32" s="7">
        <v>0.96</v>
      </c>
      <c r="J32" s="7">
        <v>0.97</v>
      </c>
      <c r="K32" s="7">
        <v>0.96</v>
      </c>
      <c r="L32" s="7">
        <v>0.96</v>
      </c>
      <c r="M32" s="7">
        <v>0.96</v>
      </c>
      <c r="N32" s="7">
        <v>0.96</v>
      </c>
      <c r="O32" s="7">
        <v>0.96</v>
      </c>
      <c r="P32" s="7">
        <v>0.97</v>
      </c>
      <c r="Q32" s="7">
        <v>0.97</v>
      </c>
      <c r="R32" s="7">
        <v>0.97</v>
      </c>
      <c r="S32" s="7">
        <v>0.98</v>
      </c>
      <c r="T32" s="7">
        <v>0.98</v>
      </c>
      <c r="U32" s="7">
        <v>0.97</v>
      </c>
      <c r="V32" s="7">
        <v>0.98</v>
      </c>
      <c r="W32" s="7">
        <v>0.98</v>
      </c>
      <c r="X32" s="7">
        <v>0.98</v>
      </c>
      <c r="Y32" s="7">
        <v>0.98</v>
      </c>
      <c r="Z32" s="7">
        <v>0.98</v>
      </c>
      <c r="AA32" s="7">
        <v>0.98</v>
      </c>
      <c r="AB32" s="7">
        <v>0.98</v>
      </c>
      <c r="AC32" s="7">
        <v>0.98</v>
      </c>
      <c r="AD32" s="7">
        <v>0.98</v>
      </c>
      <c r="AE32" s="7">
        <v>0.98</v>
      </c>
      <c r="AF32" s="7">
        <v>0.98</v>
      </c>
      <c r="AG32" s="7">
        <v>0.98</v>
      </c>
      <c r="AH32" s="7">
        <v>0.98</v>
      </c>
      <c r="AI32" s="7">
        <v>0.98</v>
      </c>
      <c r="AJ32" s="7">
        <v>0.98</v>
      </c>
      <c r="AK32" s="7">
        <v>0.98</v>
      </c>
      <c r="AL32" s="7">
        <v>0.98</v>
      </c>
      <c r="AM32" s="7">
        <v>0.98</v>
      </c>
      <c r="AN32" s="7">
        <v>0.98</v>
      </c>
      <c r="AO32" s="7">
        <v>0.98</v>
      </c>
      <c r="AP32" s="7">
        <v>0.98</v>
      </c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F32" t="s">
        <v>39</v>
      </c>
      <c r="BG32" s="4">
        <f t="shared" ref="BG32:BP34" si="28">D32</f>
        <v>0.97</v>
      </c>
      <c r="BH32" s="4">
        <f t="shared" si="28"/>
        <v>0.98</v>
      </c>
      <c r="BI32" s="4">
        <f t="shared" si="28"/>
        <v>0.94</v>
      </c>
      <c r="BJ32" s="4">
        <f t="shared" si="28"/>
        <v>0.98</v>
      </c>
      <c r="BK32" s="4">
        <f t="shared" si="28"/>
        <v>0.98</v>
      </c>
      <c r="BL32" s="4">
        <f t="shared" si="28"/>
        <v>0.96</v>
      </c>
      <c r="BM32" s="4">
        <f t="shared" si="28"/>
        <v>0.97</v>
      </c>
      <c r="BN32" s="4">
        <f t="shared" si="28"/>
        <v>0.96</v>
      </c>
      <c r="BO32" s="4">
        <f t="shared" si="28"/>
        <v>0.96</v>
      </c>
      <c r="BP32" s="4">
        <f t="shared" si="28"/>
        <v>0.96</v>
      </c>
      <c r="BQ32" s="4">
        <f t="shared" ref="BQ32:BZ34" si="29">N32</f>
        <v>0.96</v>
      </c>
      <c r="BR32" s="4">
        <f t="shared" si="29"/>
        <v>0.96</v>
      </c>
      <c r="BS32" s="4">
        <f t="shared" si="29"/>
        <v>0.97</v>
      </c>
      <c r="BT32" s="4">
        <f t="shared" si="29"/>
        <v>0.97</v>
      </c>
      <c r="BU32" s="4">
        <f t="shared" si="29"/>
        <v>0.97</v>
      </c>
      <c r="BV32" s="4">
        <f t="shared" si="29"/>
        <v>0.98</v>
      </c>
      <c r="BW32" s="4">
        <f t="shared" si="29"/>
        <v>0.98</v>
      </c>
      <c r="BX32" s="4">
        <f t="shared" si="29"/>
        <v>0.97</v>
      </c>
      <c r="BY32" s="4">
        <f t="shared" si="29"/>
        <v>0.98</v>
      </c>
      <c r="BZ32" s="4">
        <f t="shared" si="29"/>
        <v>0.98</v>
      </c>
      <c r="CA32" s="4">
        <f t="shared" ref="CA32:CJ34" si="30">X32</f>
        <v>0.98</v>
      </c>
      <c r="CB32" s="4">
        <f t="shared" si="30"/>
        <v>0.98</v>
      </c>
      <c r="CC32" s="4">
        <f t="shared" si="30"/>
        <v>0.98</v>
      </c>
      <c r="CD32" s="4">
        <f t="shared" si="30"/>
        <v>0.98</v>
      </c>
      <c r="CE32" s="4">
        <f t="shared" si="30"/>
        <v>0.98</v>
      </c>
      <c r="CF32" s="4">
        <f t="shared" si="30"/>
        <v>0.98</v>
      </c>
      <c r="CG32" s="4">
        <f t="shared" si="30"/>
        <v>0.98</v>
      </c>
      <c r="CH32" s="4">
        <f t="shared" si="30"/>
        <v>0.98</v>
      </c>
      <c r="CI32" s="4">
        <f t="shared" si="30"/>
        <v>0.98</v>
      </c>
      <c r="CJ32" s="4">
        <f t="shared" si="30"/>
        <v>0.98</v>
      </c>
      <c r="CK32" s="4">
        <f t="shared" ref="CK32:CT34" si="31">AH32</f>
        <v>0.98</v>
      </c>
      <c r="CL32" s="4">
        <f t="shared" si="31"/>
        <v>0.98</v>
      </c>
      <c r="CM32" s="4">
        <f t="shared" si="31"/>
        <v>0.98</v>
      </c>
      <c r="CN32" s="4">
        <f t="shared" si="31"/>
        <v>0.98</v>
      </c>
      <c r="CO32" s="4">
        <f t="shared" si="31"/>
        <v>0.98</v>
      </c>
      <c r="CP32" s="4">
        <f t="shared" si="31"/>
        <v>0.98</v>
      </c>
      <c r="CQ32" s="4">
        <f t="shared" si="31"/>
        <v>0.98</v>
      </c>
      <c r="CR32" s="4">
        <f t="shared" si="31"/>
        <v>0.98</v>
      </c>
      <c r="CS32" s="4">
        <f t="shared" si="31"/>
        <v>0.98</v>
      </c>
      <c r="CT32" s="4">
        <f t="shared" si="31"/>
        <v>0</v>
      </c>
      <c r="CU32" s="4">
        <f t="shared" ref="CU32:DD34" si="32">AR32</f>
        <v>0</v>
      </c>
      <c r="CV32" s="4">
        <f t="shared" si="32"/>
        <v>0</v>
      </c>
      <c r="CW32" s="4">
        <f t="shared" si="32"/>
        <v>0</v>
      </c>
      <c r="CX32" s="4">
        <f t="shared" si="32"/>
        <v>0</v>
      </c>
      <c r="CY32" s="4">
        <f t="shared" si="32"/>
        <v>0</v>
      </c>
      <c r="CZ32" s="4">
        <f t="shared" si="32"/>
        <v>0</v>
      </c>
      <c r="DA32" s="4">
        <f t="shared" si="32"/>
        <v>0</v>
      </c>
      <c r="DB32" s="4">
        <f t="shared" si="32"/>
        <v>0</v>
      </c>
      <c r="DC32" s="4">
        <f t="shared" si="32"/>
        <v>0</v>
      </c>
      <c r="DD32" s="4">
        <f t="shared" si="32"/>
        <v>0</v>
      </c>
      <c r="DE32" s="4">
        <f t="shared" ref="DE32:DN34" si="33">BB32</f>
        <v>0</v>
      </c>
      <c r="DF32" s="4">
        <f t="shared" si="33"/>
        <v>0</v>
      </c>
      <c r="DG32" s="4">
        <f t="shared" si="33"/>
        <v>0</v>
      </c>
      <c r="DI32" t="s">
        <v>39</v>
      </c>
      <c r="DJ32" s="4">
        <f>AVERAGE(BG32:BS32)</f>
        <v>0.96538461538461562</v>
      </c>
      <c r="DK32" s="4">
        <f>AVERAGE(BT32:CF32)</f>
        <v>0.97769230769230786</v>
      </c>
      <c r="DL32" s="4">
        <f>AVERAGE(CG32:CS32)</f>
        <v>0.98000000000000032</v>
      </c>
      <c r="DM32" s="4">
        <f>AVERAGE(CT32:DG32)</f>
        <v>0</v>
      </c>
    </row>
    <row r="33" spans="2:117" x14ac:dyDescent="0.2">
      <c r="B33" s="9"/>
      <c r="C33" t="s">
        <v>40</v>
      </c>
      <c r="D33" s="21">
        <v>0.96</v>
      </c>
      <c r="E33" s="21">
        <v>0.96</v>
      </c>
      <c r="F33" s="21">
        <v>0.96</v>
      </c>
      <c r="G33" s="21">
        <v>0.96</v>
      </c>
      <c r="H33" s="21">
        <v>0.96</v>
      </c>
      <c r="I33" s="21">
        <v>0.96</v>
      </c>
      <c r="J33" s="21">
        <v>0.96</v>
      </c>
      <c r="K33" s="21">
        <v>0.96</v>
      </c>
      <c r="L33" s="21">
        <v>0.96</v>
      </c>
      <c r="M33" s="21">
        <v>0.96</v>
      </c>
      <c r="N33" s="21">
        <v>0.96</v>
      </c>
      <c r="O33" s="21">
        <v>0.96</v>
      </c>
      <c r="P33" s="21">
        <v>0.96</v>
      </c>
      <c r="Q33" s="21">
        <v>0.96</v>
      </c>
      <c r="R33" s="21">
        <v>0.97</v>
      </c>
      <c r="S33" s="21">
        <v>0.96</v>
      </c>
      <c r="T33" s="21">
        <v>0.97</v>
      </c>
      <c r="U33" s="21">
        <v>0.97</v>
      </c>
      <c r="V33" s="21">
        <v>0.97</v>
      </c>
      <c r="W33" s="21">
        <v>0.97</v>
      </c>
      <c r="X33" s="21">
        <v>0.97</v>
      </c>
      <c r="Y33" s="21">
        <v>0.97</v>
      </c>
      <c r="Z33" s="21">
        <v>0.97</v>
      </c>
      <c r="AA33" s="21">
        <v>0.97</v>
      </c>
      <c r="AB33" s="21">
        <v>0.96</v>
      </c>
      <c r="AC33" s="21">
        <v>0.95</v>
      </c>
      <c r="AD33" s="21">
        <v>0.95</v>
      </c>
      <c r="AE33" s="21">
        <v>0.95</v>
      </c>
      <c r="AF33" s="21">
        <v>0.95</v>
      </c>
      <c r="AG33" s="21">
        <v>0.95</v>
      </c>
      <c r="AH33" s="21">
        <v>0.95</v>
      </c>
      <c r="AI33" s="21">
        <v>0.94</v>
      </c>
      <c r="AJ33" s="21">
        <v>0.94</v>
      </c>
      <c r="AK33" s="21">
        <v>0.93</v>
      </c>
      <c r="AL33" s="21">
        <v>0.94</v>
      </c>
      <c r="AM33" s="21">
        <v>0.93</v>
      </c>
      <c r="AN33" s="21">
        <v>0.94</v>
      </c>
      <c r="AO33" s="21">
        <v>0.94</v>
      </c>
      <c r="AP33" s="21">
        <v>0.94</v>
      </c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F33" t="s">
        <v>40</v>
      </c>
      <c r="BG33" s="4">
        <f t="shared" si="28"/>
        <v>0.96</v>
      </c>
      <c r="BH33" s="4">
        <f t="shared" si="28"/>
        <v>0.96</v>
      </c>
      <c r="BI33" s="4">
        <f t="shared" si="28"/>
        <v>0.96</v>
      </c>
      <c r="BJ33" s="4">
        <f t="shared" si="28"/>
        <v>0.96</v>
      </c>
      <c r="BK33" s="4">
        <f t="shared" si="28"/>
        <v>0.96</v>
      </c>
      <c r="BL33" s="4">
        <f t="shared" si="28"/>
        <v>0.96</v>
      </c>
      <c r="BM33" s="4">
        <f t="shared" si="28"/>
        <v>0.96</v>
      </c>
      <c r="BN33" s="4">
        <f t="shared" si="28"/>
        <v>0.96</v>
      </c>
      <c r="BO33" s="4">
        <f t="shared" si="28"/>
        <v>0.96</v>
      </c>
      <c r="BP33" s="4">
        <f t="shared" si="28"/>
        <v>0.96</v>
      </c>
      <c r="BQ33" s="4">
        <f t="shared" si="29"/>
        <v>0.96</v>
      </c>
      <c r="BR33" s="4">
        <f t="shared" si="29"/>
        <v>0.96</v>
      </c>
      <c r="BS33" s="4">
        <f t="shared" si="29"/>
        <v>0.96</v>
      </c>
      <c r="BT33" s="4">
        <f t="shared" si="29"/>
        <v>0.96</v>
      </c>
      <c r="BU33" s="4">
        <f t="shared" si="29"/>
        <v>0.97</v>
      </c>
      <c r="BV33" s="4">
        <f t="shared" si="29"/>
        <v>0.96</v>
      </c>
      <c r="BW33" s="4">
        <f t="shared" si="29"/>
        <v>0.97</v>
      </c>
      <c r="BX33" s="4">
        <f t="shared" si="29"/>
        <v>0.97</v>
      </c>
      <c r="BY33" s="4">
        <f t="shared" si="29"/>
        <v>0.97</v>
      </c>
      <c r="BZ33" s="4">
        <f t="shared" si="29"/>
        <v>0.97</v>
      </c>
      <c r="CA33" s="4">
        <f t="shared" si="30"/>
        <v>0.97</v>
      </c>
      <c r="CB33" s="4">
        <f t="shared" si="30"/>
        <v>0.97</v>
      </c>
      <c r="CC33" s="4">
        <f t="shared" si="30"/>
        <v>0.97</v>
      </c>
      <c r="CD33" s="4">
        <f t="shared" si="30"/>
        <v>0.97</v>
      </c>
      <c r="CE33" s="4">
        <f t="shared" si="30"/>
        <v>0.96</v>
      </c>
      <c r="CF33" s="4">
        <f t="shared" si="30"/>
        <v>0.95</v>
      </c>
      <c r="CG33" s="4">
        <f t="shared" si="30"/>
        <v>0.95</v>
      </c>
      <c r="CH33" s="4">
        <f t="shared" si="30"/>
        <v>0.95</v>
      </c>
      <c r="CI33" s="4">
        <f t="shared" si="30"/>
        <v>0.95</v>
      </c>
      <c r="CJ33" s="4">
        <f t="shared" si="30"/>
        <v>0.95</v>
      </c>
      <c r="CK33" s="4">
        <f t="shared" si="31"/>
        <v>0.95</v>
      </c>
      <c r="CL33" s="4">
        <f t="shared" si="31"/>
        <v>0.94</v>
      </c>
      <c r="CM33" s="4">
        <f t="shared" si="31"/>
        <v>0.94</v>
      </c>
      <c r="CN33" s="4">
        <f t="shared" si="31"/>
        <v>0.93</v>
      </c>
      <c r="CO33" s="4">
        <f t="shared" si="31"/>
        <v>0.94</v>
      </c>
      <c r="CP33" s="4">
        <f t="shared" si="31"/>
        <v>0.93</v>
      </c>
      <c r="CQ33" s="4">
        <f t="shared" si="31"/>
        <v>0.94</v>
      </c>
      <c r="CR33" s="4">
        <f t="shared" si="31"/>
        <v>0.94</v>
      </c>
      <c r="CS33" s="4">
        <f t="shared" si="31"/>
        <v>0.94</v>
      </c>
      <c r="CT33" s="4">
        <f t="shared" si="31"/>
        <v>0</v>
      </c>
      <c r="CU33" s="4">
        <f t="shared" si="32"/>
        <v>0</v>
      </c>
      <c r="CV33" s="4">
        <f t="shared" si="32"/>
        <v>0</v>
      </c>
      <c r="CW33" s="4">
        <f t="shared" si="32"/>
        <v>0</v>
      </c>
      <c r="CX33" s="4">
        <f t="shared" si="32"/>
        <v>0</v>
      </c>
      <c r="CY33" s="4">
        <f t="shared" si="32"/>
        <v>0</v>
      </c>
      <c r="CZ33" s="4">
        <f t="shared" si="32"/>
        <v>0</v>
      </c>
      <c r="DA33" s="4">
        <f t="shared" si="32"/>
        <v>0</v>
      </c>
      <c r="DB33" s="4">
        <f t="shared" si="32"/>
        <v>0</v>
      </c>
      <c r="DC33" s="4">
        <f t="shared" si="32"/>
        <v>0</v>
      </c>
      <c r="DD33" s="4">
        <f t="shared" si="32"/>
        <v>0</v>
      </c>
      <c r="DE33" s="4">
        <f t="shared" si="33"/>
        <v>0</v>
      </c>
      <c r="DF33" s="4">
        <f t="shared" si="33"/>
        <v>0</v>
      </c>
      <c r="DG33" s="4">
        <f t="shared" si="33"/>
        <v>0</v>
      </c>
      <c r="DI33" t="s">
        <v>40</v>
      </c>
      <c r="DJ33" s="4">
        <f>AVERAGE(BG33:BS33)</f>
        <v>0.9600000000000003</v>
      </c>
      <c r="DK33" s="4">
        <f>AVERAGE(BT33:CF33)</f>
        <v>0.96615384615384603</v>
      </c>
      <c r="DL33" s="4">
        <f>AVERAGE(CG33:CS33)</f>
        <v>0.94230769230769207</v>
      </c>
      <c r="DM33" s="4">
        <f>AVERAGE(CT33:DG33)</f>
        <v>0</v>
      </c>
    </row>
    <row r="34" spans="2:117" x14ac:dyDescent="0.2">
      <c r="B34" s="9"/>
      <c r="C34" t="s">
        <v>41</v>
      </c>
      <c r="D34" s="21">
        <v>0.94</v>
      </c>
      <c r="E34" s="21">
        <v>0.96</v>
      </c>
      <c r="F34" s="21">
        <v>0.91</v>
      </c>
      <c r="G34" s="21">
        <v>0.94</v>
      </c>
      <c r="H34" s="21">
        <v>0.93</v>
      </c>
      <c r="I34" s="21">
        <v>0.92</v>
      </c>
      <c r="J34" s="21">
        <v>0.92</v>
      </c>
      <c r="K34" s="21">
        <v>0.91</v>
      </c>
      <c r="L34" s="21">
        <v>0.91</v>
      </c>
      <c r="M34" s="21">
        <v>0.91</v>
      </c>
      <c r="N34" s="21">
        <v>0.9</v>
      </c>
      <c r="O34" s="21">
        <v>0.91</v>
      </c>
      <c r="P34" s="21">
        <v>0.91</v>
      </c>
      <c r="Q34" s="21">
        <v>0.91</v>
      </c>
      <c r="R34" s="21">
        <v>0.91</v>
      </c>
      <c r="S34" s="21">
        <v>0.92</v>
      </c>
      <c r="T34" s="21">
        <v>0.92</v>
      </c>
      <c r="U34" s="21">
        <v>0.91</v>
      </c>
      <c r="V34" s="21">
        <v>0.92</v>
      </c>
      <c r="W34" s="21">
        <v>0.92</v>
      </c>
      <c r="X34" s="21">
        <v>0.91</v>
      </c>
      <c r="Y34" s="21">
        <v>0.91</v>
      </c>
      <c r="Z34" s="21">
        <v>0.91</v>
      </c>
      <c r="AA34" s="21">
        <v>0.91</v>
      </c>
      <c r="AB34" s="21">
        <v>0.92</v>
      </c>
      <c r="AC34" s="21">
        <v>0.91</v>
      </c>
      <c r="AD34" s="21">
        <v>0.92</v>
      </c>
      <c r="AE34" s="21">
        <v>0.92</v>
      </c>
      <c r="AF34" s="21">
        <v>0.91</v>
      </c>
      <c r="AG34" s="21">
        <v>0.91</v>
      </c>
      <c r="AH34" s="21">
        <v>0.91</v>
      </c>
      <c r="AI34" s="21">
        <v>0.91</v>
      </c>
      <c r="AJ34" s="21">
        <v>0.91</v>
      </c>
      <c r="AK34" s="21">
        <v>0.91</v>
      </c>
      <c r="AL34" s="21">
        <v>0.91</v>
      </c>
      <c r="AM34" s="21">
        <v>0.91</v>
      </c>
      <c r="AN34" s="21">
        <v>0.91</v>
      </c>
      <c r="AO34" s="21">
        <v>0.91</v>
      </c>
      <c r="AP34" s="21">
        <v>0.91</v>
      </c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F34" t="s">
        <v>41</v>
      </c>
      <c r="BG34" s="4">
        <f t="shared" si="28"/>
        <v>0.94</v>
      </c>
      <c r="BH34" s="4">
        <f t="shared" si="28"/>
        <v>0.96</v>
      </c>
      <c r="BI34" s="4">
        <f t="shared" si="28"/>
        <v>0.91</v>
      </c>
      <c r="BJ34" s="4">
        <f t="shared" si="28"/>
        <v>0.94</v>
      </c>
      <c r="BK34" s="4">
        <f t="shared" si="28"/>
        <v>0.93</v>
      </c>
      <c r="BL34" s="4">
        <f t="shared" si="28"/>
        <v>0.92</v>
      </c>
      <c r="BM34" s="4">
        <f t="shared" si="28"/>
        <v>0.92</v>
      </c>
      <c r="BN34" s="4">
        <f t="shared" si="28"/>
        <v>0.91</v>
      </c>
      <c r="BO34" s="4">
        <f t="shared" si="28"/>
        <v>0.91</v>
      </c>
      <c r="BP34" s="4">
        <f t="shared" si="28"/>
        <v>0.91</v>
      </c>
      <c r="BQ34" s="4">
        <f t="shared" si="29"/>
        <v>0.9</v>
      </c>
      <c r="BR34" s="4">
        <f t="shared" si="29"/>
        <v>0.91</v>
      </c>
      <c r="BS34" s="4">
        <f t="shared" si="29"/>
        <v>0.91</v>
      </c>
      <c r="BT34" s="4">
        <f t="shared" si="29"/>
        <v>0.91</v>
      </c>
      <c r="BU34" s="4">
        <f t="shared" si="29"/>
        <v>0.91</v>
      </c>
      <c r="BV34" s="4">
        <f t="shared" si="29"/>
        <v>0.92</v>
      </c>
      <c r="BW34" s="4">
        <f t="shared" si="29"/>
        <v>0.92</v>
      </c>
      <c r="BX34" s="4">
        <f t="shared" si="29"/>
        <v>0.91</v>
      </c>
      <c r="BY34" s="4">
        <f t="shared" si="29"/>
        <v>0.92</v>
      </c>
      <c r="BZ34" s="4">
        <f t="shared" si="29"/>
        <v>0.92</v>
      </c>
      <c r="CA34" s="4">
        <f t="shared" si="30"/>
        <v>0.91</v>
      </c>
      <c r="CB34" s="4">
        <f t="shared" si="30"/>
        <v>0.91</v>
      </c>
      <c r="CC34" s="4">
        <f t="shared" si="30"/>
        <v>0.91</v>
      </c>
      <c r="CD34" s="4">
        <f t="shared" si="30"/>
        <v>0.91</v>
      </c>
      <c r="CE34" s="4">
        <f t="shared" si="30"/>
        <v>0.92</v>
      </c>
      <c r="CF34" s="4">
        <f t="shared" si="30"/>
        <v>0.91</v>
      </c>
      <c r="CG34" s="4">
        <f t="shared" si="30"/>
        <v>0.92</v>
      </c>
      <c r="CH34" s="4">
        <f t="shared" si="30"/>
        <v>0.92</v>
      </c>
      <c r="CI34" s="4">
        <f t="shared" si="30"/>
        <v>0.91</v>
      </c>
      <c r="CJ34" s="4">
        <f t="shared" si="30"/>
        <v>0.91</v>
      </c>
      <c r="CK34" s="4">
        <f t="shared" si="31"/>
        <v>0.91</v>
      </c>
      <c r="CL34" s="4">
        <f t="shared" si="31"/>
        <v>0.91</v>
      </c>
      <c r="CM34" s="4">
        <f t="shared" si="31"/>
        <v>0.91</v>
      </c>
      <c r="CN34" s="4">
        <f t="shared" si="31"/>
        <v>0.91</v>
      </c>
      <c r="CO34" s="4">
        <f t="shared" si="31"/>
        <v>0.91</v>
      </c>
      <c r="CP34" s="4">
        <f t="shared" si="31"/>
        <v>0.91</v>
      </c>
      <c r="CQ34" s="4">
        <f t="shared" si="31"/>
        <v>0.91</v>
      </c>
      <c r="CR34" s="4">
        <f t="shared" si="31"/>
        <v>0.91</v>
      </c>
      <c r="CS34" s="4">
        <f t="shared" si="31"/>
        <v>0.91</v>
      </c>
      <c r="CT34" s="4">
        <f t="shared" si="31"/>
        <v>0</v>
      </c>
      <c r="CU34" s="4">
        <f t="shared" si="32"/>
        <v>0</v>
      </c>
      <c r="CV34" s="4">
        <f t="shared" si="32"/>
        <v>0</v>
      </c>
      <c r="CW34" s="4">
        <f t="shared" si="32"/>
        <v>0</v>
      </c>
      <c r="CX34" s="4">
        <f t="shared" si="32"/>
        <v>0</v>
      </c>
      <c r="CY34" s="4">
        <f t="shared" si="32"/>
        <v>0</v>
      </c>
      <c r="CZ34" s="4">
        <f t="shared" si="32"/>
        <v>0</v>
      </c>
      <c r="DA34" s="4">
        <f t="shared" si="32"/>
        <v>0</v>
      </c>
      <c r="DB34" s="4">
        <f t="shared" si="32"/>
        <v>0</v>
      </c>
      <c r="DC34" s="4">
        <f t="shared" si="32"/>
        <v>0</v>
      </c>
      <c r="DD34" s="4">
        <f t="shared" si="32"/>
        <v>0</v>
      </c>
      <c r="DE34" s="4">
        <f t="shared" si="33"/>
        <v>0</v>
      </c>
      <c r="DF34" s="4">
        <f t="shared" si="33"/>
        <v>0</v>
      </c>
      <c r="DG34" s="4">
        <f t="shared" si="33"/>
        <v>0</v>
      </c>
      <c r="DI34" t="s">
        <v>41</v>
      </c>
      <c r="DJ34" s="4">
        <f>AVERAGE(BG34:BS34)</f>
        <v>0.92076923076923078</v>
      </c>
      <c r="DK34" s="4">
        <f>AVERAGE(BT34:CF34)</f>
        <v>0.91384615384615386</v>
      </c>
      <c r="DL34" s="4">
        <f>AVERAGE(CG34:CS34)</f>
        <v>0.91153846153846163</v>
      </c>
      <c r="DM34" s="4">
        <f>AVERAGE(CT34:DG34)</f>
        <v>0</v>
      </c>
    </row>
    <row r="35" spans="2:117" x14ac:dyDescent="0.2"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8" spans="2:117" x14ac:dyDescent="0.2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 Roll-Up</vt:lpstr>
      <vt:lpstr>Infrastructure Preparation</vt:lpstr>
      <vt:lpstr>Operations</vt:lpstr>
      <vt:lpstr>Data 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Buffitt</dc:creator>
  <cp:lastModifiedBy>Joe Duprey</cp:lastModifiedBy>
  <dcterms:created xsi:type="dcterms:W3CDTF">2026-05-19T14:54:05Z</dcterms:created>
  <dcterms:modified xsi:type="dcterms:W3CDTF">2026-06-30T14:57:50Z</dcterms:modified>
</cp:coreProperties>
</file>